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21720" windowWidth="38640" windowHeight="21120" tabRatio="600" firstSheet="1" activeTab="4" autoFilterDateGrouping="1"/>
  </bookViews>
  <sheets>
    <sheet xmlns:r="http://schemas.openxmlformats.org/officeDocument/2006/relationships" name="Env-bk" sheetId="1" state="hidden" r:id="rId1"/>
    <sheet xmlns:r="http://schemas.openxmlformats.org/officeDocument/2006/relationships" name="Env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est_Details_bk" sheetId="4" state="hidden" r:id="rId4"/>
    <sheet xmlns:r="http://schemas.openxmlformats.org/officeDocument/2006/relationships" name="Test_Details" sheetId="5" state="visible" r:id="rId5"/>
    <sheet xmlns:r="http://schemas.openxmlformats.org/officeDocument/2006/relationships" name="Test_Details-back" sheetId="6" state="hidden" r:id="rId6"/>
    <sheet xmlns:r="http://schemas.openxmlformats.org/officeDocument/2006/relationships" name="LTSSM_Stress" sheetId="7" state="visible" r:id="rId7"/>
    <sheet xmlns:r="http://schemas.openxmlformats.org/officeDocument/2006/relationships" name="SMV_Margin" sheetId="8" state="visible" r:id="rId8"/>
    <sheet xmlns:r="http://schemas.openxmlformats.org/officeDocument/2006/relationships" name="SMV_GEN6" sheetId="9" state="visible" r:id="rId9"/>
    <sheet xmlns:r="http://schemas.openxmlformats.org/officeDocument/2006/relationships" name="SMV_GEN5" sheetId="10" state="visible" r:id="rId10"/>
    <sheet xmlns:r="http://schemas.openxmlformats.org/officeDocument/2006/relationships" name="Pass_Criteria" sheetId="11" state="visible" r:id="rId11"/>
    <sheet xmlns:r="http://schemas.openxmlformats.org/officeDocument/2006/relationships" name="BIOS_settings" sheetId="12" state="visible" r:id="rId12"/>
  </sheets>
  <definedNames>
    <definedName name="_xlnm._FilterDatabase" localSheetId="3" hidden="1">'Test_Details_bk'!$A$1:$AC$25</definedName>
    <definedName name="_xlnm._FilterDatabase" localSheetId="4" hidden="1">'Test_Details'!$A$1:$AQ$33</definedName>
    <definedName name="_xlnm._FilterDatabase" localSheetId="5" hidden="1">'Test_Details-back'!$A$1:$AK$53</definedName>
    <definedName name="_xlnm._FilterDatabase" localSheetId="6" hidden="1">'LTSSM_Stress'!$A$1:$Q$129</definedName>
    <definedName name="_xlnm._FilterDatabase" localSheetId="7" hidden="1">'SMV_Margin'!$A$1:$I$17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mmmm/yy;@"/>
  </numFmts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FFFF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color rgb="FFED7D31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sz val="10"/>
    </font>
    <font>
      <name val="Calibri"/>
      <family val="2"/>
      <b val="1"/>
      <color rgb="FFFFC000"/>
      <sz val="11"/>
      <scheme val="minor"/>
    </font>
    <font>
      <name val="Calibri"/>
      <family val="2"/>
      <b val="1"/>
      <color rgb="FF4FD1F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rgb="FF000000"/>
      <sz val="11"/>
      <scheme val="minor"/>
    </font>
    <font>
      <name val="Aptos Narrow"/>
      <family val="2"/>
      <color rgb="FF000000"/>
      <sz val="11"/>
    </font>
    <font>
      <name val="Aptos Narrow"/>
      <family val="2"/>
      <color rgb="FFFF0000"/>
      <sz val="11"/>
    </font>
    <font>
      <name val="Calibri"/>
      <family val="2"/>
      <color rgb="FF00B050"/>
      <sz val="11"/>
    </font>
    <font>
      <name val="Calibri"/>
      <family val="2"/>
      <color rgb="FFFF0000"/>
      <sz val="11"/>
    </font>
    <font>
      <color rgb="0000B050"/>
    </font>
    <font>
      <color rgb="00FF0000"/>
    </font>
  </fonts>
  <fills count="25">
    <fill>
      <patternFill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rgb="FF51647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rgb="FFD0CECE"/>
        <bgColor rgb="FFD0CECE"/>
      </patternFill>
    </fill>
    <fill>
      <patternFill patternType="solid">
        <fgColor rgb="FFFCE4D6"/>
        <bgColor rgb="FFFCE4D6"/>
      </patternFill>
    </fill>
    <fill>
      <patternFill patternType="solid">
        <fgColor rgb="00E2EFDA"/>
        <bgColor rgb="00E2EFDA"/>
      </patternFill>
    </fill>
    <fill>
      <patternFill patternType="solid">
        <fgColor rgb="00D0CECE"/>
        <bgColor rgb="00D0CECE"/>
      </patternFill>
    </fill>
    <fill>
      <patternFill patternType="solid">
        <fgColor rgb="00FCE4D6"/>
        <bgColor rgb="00FCE4D6"/>
      </patternFill>
    </fill>
  </fills>
  <borders count="3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/>
      <right style="thin"/>
      <top style="thin"/>
      <bottom style="thin"/>
    </border>
  </borders>
  <cellStyleXfs count="8">
    <xf numFmtId="0" fontId="1" fillId="0" borderId="0"/>
    <xf numFmtId="164" fontId="1" fillId="0" borderId="0"/>
    <xf numFmtId="0" fontId="11" fillId="8" borderId="0"/>
    <xf numFmtId="0" fontId="12" fillId="0" borderId="0"/>
    <xf numFmtId="164" fontId="13" fillId="0" borderId="0"/>
    <xf numFmtId="0" fontId="10" fillId="7" borderId="1"/>
    <xf numFmtId="0" fontId="10" fillId="7" borderId="1"/>
    <xf numFmtId="0" fontId="16" fillId="14" borderId="0"/>
  </cellStyleXfs>
  <cellXfs count="122">
    <xf numFmtId="0" fontId="0" fillId="0" borderId="0" pivotButton="0" quotePrefix="0" xfId="0"/>
    <xf numFmtId="0" fontId="4" fillId="2" borderId="2" applyAlignment="1" pivotButton="0" quotePrefix="0" xfId="0">
      <alignment vertical="center"/>
    </xf>
    <xf numFmtId="0" fontId="5" fillId="3" borderId="2" pivotButton="0" quotePrefix="0" xfId="0"/>
    <xf numFmtId="0" fontId="6" fillId="4" borderId="2" applyAlignment="1" pivotButton="0" quotePrefix="0" xfId="0">
      <alignment horizontal="left"/>
    </xf>
    <xf numFmtId="0" fontId="6" fillId="4" borderId="2" pivotButton="0" quotePrefix="0" xfId="0"/>
    <xf numFmtId="0" fontId="8" fillId="4" borderId="2" pivotButton="0" quotePrefix="0" xfId="0"/>
    <xf numFmtId="0" fontId="7" fillId="4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2" fillId="0" borderId="2" applyAlignment="1" pivotButton="0" quotePrefix="0" xfId="3">
      <alignment horizontal="left" vertical="top"/>
    </xf>
    <xf numFmtId="0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vertical="top"/>
    </xf>
    <xf numFmtId="49" fontId="1" fillId="6" borderId="2" applyAlignment="1" pivotButton="0" quotePrefix="0" xfId="1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12" fillId="0" borderId="2" applyAlignment="1" pivotButton="0" quotePrefix="0" xfId="3">
      <alignment horizontal="fill" vertical="top"/>
    </xf>
    <xf numFmtId="0" fontId="1" fillId="0" borderId="2" pivotButton="0" quotePrefix="0" xfId="0"/>
    <xf numFmtId="0" fontId="0" fillId="0" borderId="2" applyAlignment="1" pivotButton="0" quotePrefix="0" xfId="0">
      <alignment horizontal="left" vertical="top"/>
    </xf>
    <xf numFmtId="0" fontId="0" fillId="0" borderId="0" applyAlignment="1" pivotButton="0" quotePrefix="0" xfId="0">
      <alignment horizontal="fill" vertical="top"/>
    </xf>
    <xf numFmtId="0" fontId="5" fillId="3" borderId="2" applyAlignment="1" pivotButton="0" quotePrefix="0" xfId="0">
      <alignment horizontal="left" vertical="top"/>
    </xf>
    <xf numFmtId="0" fontId="2" fillId="5" borderId="2" applyAlignment="1" pivotButton="0" quotePrefix="0" xfId="0">
      <alignment horizontal="left" vertical="top"/>
    </xf>
    <xf numFmtId="0" fontId="2" fillId="5" borderId="5" applyAlignment="1" pivotButton="0" quotePrefix="0" xfId="0">
      <alignment horizontal="left" vertical="top"/>
    </xf>
    <xf numFmtId="0" fontId="2" fillId="5" borderId="5" applyAlignment="1" pivotButton="0" quotePrefix="0" xfId="0">
      <alignment horizontal="left" vertical="top" wrapText="1"/>
    </xf>
    <xf numFmtId="14" fontId="0" fillId="0" borderId="2" applyAlignment="1" pivotButton="0" quotePrefix="0" xfId="0">
      <alignment horizontal="left" vertical="top"/>
    </xf>
    <xf numFmtId="49" fontId="1" fillId="6" borderId="2" applyAlignment="1" pivotButton="0" quotePrefix="0" xfId="1">
      <alignment horizontal="left" vertical="top" wrapText="1" indent="1"/>
    </xf>
    <xf numFmtId="0" fontId="2" fillId="5" borderId="5" applyAlignment="1" pivotButton="0" quotePrefix="0" xfId="0">
      <alignment horizontal="fill" vertical="top"/>
    </xf>
    <xf numFmtId="0" fontId="0" fillId="0" borderId="2" applyAlignment="1" pivotButton="0" quotePrefix="0" xfId="0">
      <alignment horizontal="fill" vertical="top"/>
    </xf>
    <xf numFmtId="0" fontId="2" fillId="5" borderId="0" applyAlignment="1" pivotButton="0" quotePrefix="0" xfId="0">
      <alignment horizontal="left" vertical="top"/>
    </xf>
    <xf numFmtId="0" fontId="0" fillId="0" borderId="2" applyAlignment="1" pivotButton="0" quotePrefix="0" xfId="0">
      <alignment horizontal="left"/>
    </xf>
    <xf numFmtId="10" fontId="0" fillId="0" borderId="2" applyAlignment="1" pivotButton="0" quotePrefix="0" xfId="0">
      <alignment horizontal="left" vertical="top"/>
    </xf>
    <xf numFmtId="10" fontId="3" fillId="0" borderId="2" applyAlignment="1" pivotButton="0" quotePrefix="0" xfId="0">
      <alignment horizontal="left" vertical="top"/>
    </xf>
    <xf numFmtId="10" fontId="0" fillId="0" borderId="2" applyAlignment="1" pivotButton="0" quotePrefix="0" xfId="0">
      <alignment horizontal="left" vertical="top" indent="1"/>
    </xf>
    <xf numFmtId="0" fontId="2" fillId="11" borderId="2" applyAlignment="1" pivotButton="0" quotePrefix="0" xfId="2">
      <alignment horizontal="left" vertical="center" wrapText="1" readingOrder="1"/>
    </xf>
    <xf numFmtId="0" fontId="4" fillId="2" borderId="7" applyAlignment="1" pivotButton="0" quotePrefix="0" xfId="0">
      <alignment vertical="center"/>
    </xf>
    <xf numFmtId="0" fontId="4" fillId="3" borderId="2" pivotButton="0" quotePrefix="0" xfId="0"/>
    <xf numFmtId="0" fontId="0" fillId="0" borderId="2" applyAlignment="1" pivotButton="0" quotePrefix="0" xfId="0">
      <alignment horizontal="center"/>
    </xf>
    <xf numFmtId="0" fontId="4" fillId="12" borderId="7" applyAlignment="1" pivotButton="0" quotePrefix="0" xfId="0">
      <alignment vertical="center"/>
    </xf>
    <xf numFmtId="0" fontId="10" fillId="7" borderId="1" applyAlignment="1" pivotButton="0" quotePrefix="0" xfId="6">
      <alignment horizontal="center"/>
    </xf>
    <xf numFmtId="10" fontId="10" fillId="7" borderId="1" applyAlignment="1" pivotButton="0" quotePrefix="0" xfId="6">
      <alignment horizontal="left" vertical="top"/>
    </xf>
    <xf numFmtId="0" fontId="0" fillId="0" borderId="2" applyAlignment="1" pivotButton="0" quotePrefix="0" xfId="0">
      <alignment horizontal="left" vertical="top" wrapText="1"/>
    </xf>
    <xf numFmtId="0" fontId="2" fillId="13" borderId="5" applyAlignment="1" pivotButton="0" quotePrefix="0" xfId="0">
      <alignment horizontal="left" vertical="top"/>
    </xf>
    <xf numFmtId="0" fontId="2" fillId="13" borderId="2" applyAlignment="1" pivotButton="0" quotePrefix="0" xfId="0">
      <alignment horizontal="left" vertical="top"/>
    </xf>
    <xf numFmtId="21" fontId="0" fillId="0" borderId="2" applyAlignment="1" pivotButton="0" quotePrefix="0" xfId="0">
      <alignment horizontal="left" vertical="top"/>
    </xf>
    <xf numFmtId="0" fontId="2" fillId="5" borderId="2" applyAlignment="1" pivotButton="0" quotePrefix="0" xfId="2">
      <alignment vertical="top" wrapText="1" readingOrder="1"/>
    </xf>
    <xf numFmtId="21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fill" vertical="top" wrapText="1"/>
    </xf>
    <xf numFmtId="21" fontId="0" fillId="15" borderId="2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0" fontId="2" fillId="11" borderId="2" applyAlignment="1" pivotButton="0" quotePrefix="0" xfId="2">
      <alignment horizontal="left" vertical="top" wrapText="1" readingOrder="1"/>
    </xf>
    <xf numFmtId="0" fontId="1" fillId="0" borderId="2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center"/>
    </xf>
    <xf numFmtId="10" fontId="9" fillId="0" borderId="2" applyAlignment="1" pivotButton="0" quotePrefix="0" xfId="0">
      <alignment horizontal="center"/>
    </xf>
    <xf numFmtId="0" fontId="0" fillId="0" borderId="10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1" applyAlignment="1" pivotButton="0" quotePrefix="0" xfId="0">
      <alignment horizontal="left" vertical="top" wrapText="1"/>
    </xf>
    <xf numFmtId="0" fontId="0" fillId="0" borderId="12" applyAlignment="1" pivotButton="0" quotePrefix="0" xfId="0">
      <alignment horizontal="left" vertical="top" wrapText="1"/>
    </xf>
    <xf numFmtId="49" fontId="1" fillId="6" borderId="2" applyAlignment="1" pivotButton="0" quotePrefix="0" xfId="1">
      <alignment horizontal="fill" vertical="top" wrapText="1"/>
    </xf>
    <xf numFmtId="49" fontId="0" fillId="6" borderId="2" applyAlignment="1" pivotButton="0" quotePrefix="0" xfId="1">
      <alignment horizontal="fill" vertical="top" wrapText="1"/>
    </xf>
    <xf numFmtId="49" fontId="16" fillId="14" borderId="2" applyAlignment="1" pivotButton="0" quotePrefix="0" xfId="7">
      <alignment horizontal="fill" vertical="top" wrapText="1"/>
    </xf>
    <xf numFmtId="0" fontId="0" fillId="17" borderId="2" applyAlignment="1" pivotButton="0" quotePrefix="0" xfId="0">
      <alignment horizontal="left" vertical="top"/>
    </xf>
    <xf numFmtId="0" fontId="0" fillId="15" borderId="2" applyAlignment="1" pivotButton="0" quotePrefix="0" xfId="0">
      <alignment horizontal="left" vertical="top"/>
    </xf>
    <xf numFmtId="0" fontId="0" fillId="18" borderId="2" applyAlignment="1" pivotButton="0" quotePrefix="0" xfId="0">
      <alignment horizontal="left" vertical="top"/>
    </xf>
    <xf numFmtId="0" fontId="0" fillId="16" borderId="2" applyAlignment="1" pivotButton="0" quotePrefix="0" xfId="0">
      <alignment horizontal="left" vertical="top"/>
    </xf>
    <xf numFmtId="0" fontId="12" fillId="0" borderId="2" applyAlignment="1" pivotButton="0" quotePrefix="0" xfId="3">
      <alignment horizontal="fill" vertical="top" wrapText="1"/>
    </xf>
    <xf numFmtId="0" fontId="6" fillId="0" borderId="2" applyAlignment="1" pivotButton="0" quotePrefix="0" xfId="0">
      <alignment horizontal="left" vertical="top"/>
    </xf>
    <xf numFmtId="0" fontId="6" fillId="0" borderId="2" applyAlignment="1" pivotButton="0" quotePrefix="0" xfId="0">
      <alignment horizontal="left"/>
    </xf>
    <xf numFmtId="0" fontId="6" fillId="0" borderId="2" pivotButton="0" quotePrefix="0" xfId="0"/>
    <xf numFmtId="0" fontId="0" fillId="9" borderId="5" applyAlignment="1" pivotButton="0" quotePrefix="0" xfId="0">
      <alignment vertical="top"/>
    </xf>
    <xf numFmtId="0" fontId="0" fillId="0" borderId="2" pivotButton="0" quotePrefix="0" xfId="0"/>
    <xf numFmtId="0" fontId="17" fillId="10" borderId="2" applyAlignment="1" pivotButton="0" quotePrefix="0" xfId="0">
      <alignment horizontal="left" vertical="top"/>
    </xf>
    <xf numFmtId="0" fontId="17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3" fillId="0" borderId="2" applyAlignment="1" pivotButton="0" quotePrefix="0" xfId="0">
      <alignment horizontal="left" vertical="top"/>
    </xf>
    <xf numFmtId="0" fontId="18" fillId="0" borderId="2" applyAlignment="1" pivotButton="0" quotePrefix="0" xfId="0">
      <alignment horizontal="left" vertical="top"/>
    </xf>
    <xf numFmtId="0" fontId="19" fillId="0" borderId="2" applyAlignment="1" pivotButton="0" quotePrefix="0" xfId="0">
      <alignment horizontal="left" vertical="top"/>
    </xf>
    <xf numFmtId="49" fontId="1" fillId="6" borderId="3" applyAlignment="1" pivotButton="0" quotePrefix="0" xfId="1">
      <alignment horizontal="left" vertical="top" wrapText="1"/>
    </xf>
    <xf numFmtId="0" fontId="12" fillId="0" borderId="2" applyAlignment="1" pivotButton="0" quotePrefix="0" xfId="3">
      <alignment horizontal="fill" vertical="justify" wrapText="1" readingOrder="1"/>
    </xf>
    <xf numFmtId="0" fontId="12" fillId="0" borderId="0" applyAlignment="1" pivotButton="0" quotePrefix="0" xfId="3">
      <alignment horizontal="fill" vertical="justify" readingOrder="1"/>
    </xf>
    <xf numFmtId="21" fontId="0" fillId="0" borderId="0" applyAlignment="1" pivotButton="0" quotePrefix="0" xfId="0">
      <alignment horizontal="left" vertical="top"/>
    </xf>
    <xf numFmtId="49" fontId="0" fillId="0" borderId="2" applyAlignment="1" pivotButton="0" quotePrefix="0" xfId="0">
      <alignment horizontal="left"/>
    </xf>
    <xf numFmtId="49" fontId="0" fillId="0" borderId="2" applyAlignment="1" pivotButton="0" quotePrefix="0" xfId="0">
      <alignment horizontal="left" vertical="top"/>
    </xf>
    <xf numFmtId="2" fontId="0" fillId="0" borderId="2" applyAlignment="1" pivotButton="0" quotePrefix="0" xfId="0">
      <alignment horizontal="left" vertical="top"/>
    </xf>
    <xf numFmtId="49" fontId="0" fillId="0" borderId="2" applyAlignment="1" pivotButton="0" quotePrefix="1" xfId="0">
      <alignment horizontal="left"/>
    </xf>
    <xf numFmtId="0" fontId="2" fillId="13" borderId="2" applyAlignment="1" pivotButton="0" quotePrefix="0" xfId="0">
      <alignment horizontal="left" vertical="top" wrapText="1"/>
    </xf>
    <xf numFmtId="0" fontId="0" fillId="0" borderId="20" applyAlignment="1" pivotButton="0" quotePrefix="0" xfId="0">
      <alignment horizontal="left" vertical="top"/>
    </xf>
    <xf numFmtId="49" fontId="20" fillId="19" borderId="20" applyAlignment="1" pivotButton="0" quotePrefix="0" xfId="1">
      <alignment horizontal="left" vertical="top"/>
    </xf>
    <xf numFmtId="2" fontId="0" fillId="0" borderId="20" applyAlignment="1" pivotButton="0" quotePrefix="0" xfId="0">
      <alignment horizontal="left" vertical="top"/>
    </xf>
    <xf numFmtId="49" fontId="21" fillId="21" borderId="20" applyAlignment="1" pivotButton="0" quotePrefix="0" xfId="1">
      <alignment horizontal="left" vertical="top"/>
    </xf>
    <xf numFmtId="49" fontId="1" fillId="20" borderId="20" applyAlignment="1" pivotButton="0" quotePrefix="0" xfId="1">
      <alignment horizontal="left" vertical="top"/>
    </xf>
    <xf numFmtId="0" fontId="4" fillId="10" borderId="14" applyAlignment="1" pivotButton="0" quotePrefix="0" xfId="0">
      <alignment horizontal="left" vertical="top" wrapText="1" readingOrder="1"/>
    </xf>
    <xf numFmtId="0" fontId="0" fillId="0" borderId="14" pivotButton="0" quotePrefix="0" xfId="0"/>
    <xf numFmtId="0" fontId="2" fillId="13" borderId="2" applyAlignment="1" pivotButton="0" quotePrefix="0" xfId="0">
      <alignment horizontal="left" vertical="top"/>
    </xf>
    <xf numFmtId="0" fontId="0" fillId="0" borderId="7" pivotButton="0" quotePrefix="0" xfId="0"/>
    <xf numFmtId="0" fontId="0" fillId="0" borderId="8" pivotButton="0" quotePrefix="0" xfId="0"/>
    <xf numFmtId="0" fontId="6" fillId="0" borderId="2" applyAlignment="1" pivotButton="0" quotePrefix="0" xfId="0">
      <alignment horizontal="left" vertical="top"/>
    </xf>
    <xf numFmtId="0" fontId="0" fillId="0" borderId="4" pivotButton="0" quotePrefix="0" xfId="0"/>
    <xf numFmtId="0" fontId="0" fillId="0" borderId="6" pivotButton="0" quotePrefix="0" xfId="0"/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top"/>
    </xf>
    <xf numFmtId="0" fontId="10" fillId="7" borderId="1" applyAlignment="1" pivotButton="0" quotePrefix="0" xfId="6">
      <alignment horizontal="center"/>
    </xf>
    <xf numFmtId="0" fontId="0" fillId="0" borderId="15" pivotButton="0" quotePrefix="0" xfId="0"/>
    <xf numFmtId="0" fontId="0" fillId="0" borderId="16" pivotButton="0" quotePrefix="0" xfId="0"/>
    <xf numFmtId="0" fontId="14" fillId="3" borderId="2" applyAlignment="1" pivotButton="0" quotePrefix="0" xfId="0">
      <alignment horizontal="center"/>
    </xf>
    <xf numFmtId="0" fontId="15" fillId="3" borderId="2" applyAlignment="1" pivotButton="0" quotePrefix="0" xfId="0">
      <alignment horizontal="center"/>
    </xf>
    <xf numFmtId="0" fontId="12" fillId="0" borderId="2" applyAlignment="1" pivotButton="0" quotePrefix="0" xfId="3">
      <alignment horizontal="left" vertical="top"/>
    </xf>
    <xf numFmtId="0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left" vertical="top"/>
    </xf>
    <xf numFmtId="0" fontId="0" fillId="16" borderId="2" applyAlignment="1" pivotButton="0" quotePrefix="0" xfId="0">
      <alignment horizontal="center" vertical="top"/>
    </xf>
    <xf numFmtId="0" fontId="0" fillId="17" borderId="2" applyAlignment="1" pivotButton="0" quotePrefix="0" xfId="0">
      <alignment horizontal="center" vertical="top"/>
    </xf>
    <xf numFmtId="0" fontId="2" fillId="5" borderId="2" applyAlignment="1" pivotButton="0" quotePrefix="0" xfId="2">
      <alignment horizontal="left" vertical="top" wrapText="1" readingOrder="1"/>
    </xf>
    <xf numFmtId="0" fontId="7" fillId="0" borderId="2" applyAlignment="1" pivotButton="0" quotePrefix="0" xfId="0">
      <alignment horizontal="left" vertical="top" wrapText="1"/>
    </xf>
    <xf numFmtId="0" fontId="2" fillId="13" borderId="9" applyAlignment="1" pivotButton="0" quotePrefix="0" xfId="0">
      <alignment horizontal="left" vertical="top"/>
    </xf>
    <xf numFmtId="0" fontId="0" fillId="0" borderId="18" pivotButton="0" quotePrefix="0" xfId="0"/>
    <xf numFmtId="0" fontId="0" fillId="0" borderId="19" pivotButton="0" quotePrefix="0" xfId="0"/>
    <xf numFmtId="0" fontId="2" fillId="5" borderId="17" applyAlignment="1" pivotButton="0" quotePrefix="0" xfId="0">
      <alignment horizontal="left" vertical="top" wrapText="1" readingOrder="1"/>
    </xf>
    <xf numFmtId="0" fontId="0" fillId="0" borderId="13" pivotButton="0" quotePrefix="0" xfId="0"/>
    <xf numFmtId="0" fontId="0" fillId="0" borderId="29" applyAlignment="1" pivotButton="0" quotePrefix="0" xfId="0">
      <alignment horizontal="left" vertical="top"/>
    </xf>
    <xf numFmtId="49" fontId="22" fillId="22" borderId="29" applyAlignment="1" pivotButton="0" quotePrefix="0" xfId="1">
      <alignment horizontal="left" vertical="top"/>
    </xf>
    <xf numFmtId="2" fontId="0" fillId="0" borderId="29" applyAlignment="1" pivotButton="0" quotePrefix="0" xfId="0">
      <alignment horizontal="left" vertical="top"/>
    </xf>
    <xf numFmtId="49" fontId="23" fillId="24" borderId="29" applyAlignment="1" pivotButton="0" quotePrefix="0" xfId="1">
      <alignment horizontal="left" vertical="top"/>
    </xf>
    <xf numFmtId="49" fontId="1" fillId="23" borderId="29" applyAlignment="1" pivotButton="0" quotePrefix="0" xfId="1">
      <alignment horizontal="left" vertical="top"/>
    </xf>
  </cellXfs>
  <cellStyles count="8">
    <cellStyle name="Normal" xfId="0" builtinId="0"/>
    <cellStyle name="Normal 2" xfId="1"/>
    <cellStyle name="Accent1" xfId="2" builtinId="29"/>
    <cellStyle name="Hyperlink" xfId="3" builtinId="8"/>
    <cellStyle name="常规 2 3" xfId="4"/>
    <cellStyle name="Calculation 2" xfId="5"/>
    <cellStyle name="Calculation" xfId="6" builtinId="22"/>
    <cellStyle name="Good" xfId="7" builtinId="26"/>
  </cellStyles>
  <dxfs count="278"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theme="7" tint="-0.499984740745262"/>
      </font>
      <fill>
        <patternFill>
          <bgColor theme="7" tint="0.7999816888943144"/>
        </patternFill>
      </fill>
    </dxf>
    <dxf>
      <font>
        <color rgb="FF0070C0"/>
      </font>
      <fill>
        <patternFill>
          <bgColor theme="8" tint="0.7999816888943144"/>
        </patternFill>
      </fill>
    </dxf>
    <dxf>
      <font>
        <color theme="5" tint="-0.499984740745262"/>
      </font>
      <fill>
        <patternFill>
          <bgColor theme="5" tint="0.7999816888943144"/>
        </patternFill>
      </fill>
    </dxf>
    <dxf>
      <font>
        <color theme="5" tint="-0.499984740745262"/>
      </font>
      <fill>
        <patternFill>
          <bgColor theme="5" tint="0.7999816888943144"/>
        </patternFill>
      </fill>
    </dxf>
    <dxf>
      <font>
        <color rgb="FF0070C0"/>
      </font>
      <fill>
        <patternFill>
          <bgColor rgb="FFFFFF00"/>
        </patternFill>
      </fill>
    </dxf>
    <dxf>
      <font>
        <color rgb="FF0070C0"/>
      </font>
      <fill>
        <patternFill>
          <bgColor rgb="FFFFFF00"/>
        </patternFill>
      </fill>
    </dxf>
    <dxf>
      <font>
        <color rgb="FF0070C0"/>
      </font>
      <fill>
        <patternFill>
          <bgColor rgb="FFFFFF00"/>
        </patternFill>
      </fill>
    </dxf>
    <dxf>
      <font>
        <color rgb="FF0070C0"/>
      </font>
      <fill>
        <patternFill>
          <bgColor rgb="FFFFFF00"/>
        </patternFill>
      </fill>
    </dxf>
    <dxf>
      <font>
        <color theme="7" tint="-0.499984740745262"/>
      </font>
      <fill>
        <patternFill>
          <bgColor theme="7" tint="0.7999816888943144"/>
        </patternFill>
      </fill>
    </dxf>
    <dxf>
      <font>
        <color theme="8" tint="-0.499984740745262"/>
      </font>
      <fill>
        <patternFill>
          <bgColor theme="8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theme="7" tint="-0.499984740745262"/>
      </font>
      <fill>
        <patternFill>
          <bgColor theme="7" tint="0.7999816888943144"/>
        </patternFill>
      </fill>
    </dxf>
    <dxf>
      <font>
        <color rgb="FF0070C0"/>
      </font>
      <fill>
        <patternFill>
          <bgColor theme="8" tint="0.7999816888943144"/>
        </patternFill>
      </fill>
    </dxf>
    <dxf>
      <font>
        <color theme="5" tint="-0.499984740745262"/>
      </font>
      <fill>
        <patternFill>
          <bgColor theme="5" tint="0.7999816888943144"/>
        </patternFill>
      </fill>
    </dxf>
    <dxf>
      <font>
        <color theme="5" tint="-0.499984740745262"/>
      </font>
      <fill>
        <patternFill>
          <bgColor theme="5" tint="0.7999816888943144"/>
        </patternFill>
      </fill>
    </dxf>
    <dxf>
      <font>
        <color rgb="FF0070C0"/>
      </font>
      <fill>
        <patternFill>
          <bgColor rgb="FFFFFF00"/>
        </patternFill>
      </fill>
    </dxf>
    <dxf>
      <font>
        <color rgb="FF0070C0"/>
      </font>
      <fill>
        <patternFill>
          <bgColor rgb="FFFFFF00"/>
        </patternFill>
      </fill>
    </dxf>
    <dxf>
      <font>
        <color rgb="FF0070C0"/>
      </font>
      <fill>
        <patternFill>
          <bgColor rgb="FFFFFF00"/>
        </patternFill>
      </fill>
    </dxf>
    <dxf>
      <font>
        <color rgb="FF0070C0"/>
      </font>
      <fill>
        <patternFill>
          <bgColor rgb="FFFFFF00"/>
        </patternFill>
      </fill>
    </dxf>
    <dxf>
      <font>
        <color theme="7" tint="-0.499984740745262"/>
      </font>
      <fill>
        <patternFill>
          <bgColor theme="7" tint="0.7999816888943144"/>
        </patternFill>
      </fill>
    </dxf>
    <dxf>
      <font>
        <color rgb="FF0070C0"/>
      </font>
      <fill>
        <patternFill>
          <bgColor theme="8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9" tint="0.7999816888943144"/>
        </patternFill>
      </fill>
    </dxf>
    <dxf>
      <font>
        <color theme="1"/>
      </font>
      <fill>
        <patternFill>
          <bgColor theme="0" tint="-0.249946592608417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theme="1"/>
      </font>
      <fill>
        <patternFill>
          <bgColor theme="2" tint="-0.09994811853389081"/>
        </patternFill>
      </fill>
    </dxf>
    <dxf>
      <font>
        <color auto="1"/>
      </font>
      <fill>
        <patternFill>
          <bgColor theme="2" tint="-0.09994811853389081"/>
        </patternFill>
      </fill>
    </dxf>
    <dxf>
      <font>
        <color rgb="FF0070C0"/>
      </font>
      <fill>
        <patternFill>
          <bgColor theme="8" tint="0.7999816888943144"/>
        </patternFill>
      </fill>
    </dxf>
    <dxf>
      <font>
        <color theme="7" tint="-0.499984740745262"/>
      </font>
      <fill>
        <patternFill>
          <bgColor theme="7" tint="0.7999816888943144"/>
        </patternFill>
      </fill>
    </dxf>
    <dxf>
      <font>
        <color rgb="FF002060"/>
      </font>
      <fill>
        <patternFill>
          <bgColor rgb="FFFFFF66"/>
        </patternFill>
      </fill>
    </dxf>
    <dxf>
      <font>
        <color theme="7" tint="-0.499984740745262"/>
      </font>
      <fill>
        <patternFill>
          <bgColor theme="7" tint="0.7999816888943144"/>
        </patternFill>
      </fill>
    </dxf>
    <dxf>
      <font>
        <color rgb="FF0070C0"/>
      </font>
      <fill>
        <patternFill>
          <bgColor theme="8" tint="0.7999816888943144"/>
        </patternFill>
      </fill>
    </dxf>
    <dxf>
      <font>
        <color theme="7" tint="-0.499984740745262"/>
      </font>
      <fill>
        <patternFill>
          <bgColor theme="7" tint="0.7999816888943144"/>
        </patternFill>
      </fill>
    </dxf>
    <dxf>
      <font>
        <color rgb="FF0070C0"/>
      </font>
      <fill>
        <patternFill>
          <bgColor theme="8" tint="0.7999816888943144"/>
        </patternFill>
      </fill>
    </dxf>
    <dxf>
      <font>
        <color theme="7" tint="-0.499984740745262"/>
      </font>
      <fill>
        <patternFill>
          <bgColor theme="7" tint="0.7999816888943144"/>
        </patternFill>
      </fill>
    </dxf>
    <dxf>
      <font>
        <color rgb="FF0070C0"/>
      </font>
      <fill>
        <patternFill>
          <bgColor theme="8" tint="0.7999816888943144"/>
        </patternFill>
      </fill>
    </dxf>
    <dxf>
      <font>
        <color theme="7" tint="-0.499984740745262"/>
      </font>
      <fill>
        <patternFill>
          <bgColor theme="7" tint="0.7999816888943144"/>
        </patternFill>
      </fill>
    </dxf>
    <dxf>
      <font>
        <color rgb="FF0070C0"/>
      </font>
      <fill>
        <patternFill>
          <bgColor theme="8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9" tint="0.7999816888943144"/>
        </patternFill>
      </fill>
    </dxf>
    <dxf>
      <font>
        <color theme="1"/>
      </font>
      <fill>
        <patternFill>
          <bgColor theme="0" tint="-0.249946592608417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theme="5" tint="-0.499984740745262"/>
      </font>
      <fill>
        <patternFill>
          <bgColor theme="7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theme="1"/>
      </font>
      <fill>
        <patternFill>
          <bgColor theme="2" tint="-0.09994811853389081"/>
        </patternFill>
      </fill>
    </dxf>
    <dxf>
      <font>
        <color auto="1"/>
      </font>
      <fill>
        <patternFill>
          <bgColor theme="2" tint="-0.09994811853389081"/>
        </patternFill>
      </fill>
    </dxf>
    <dxf>
      <font>
        <color rgb="FF0070C0"/>
      </font>
      <fill>
        <patternFill>
          <bgColor theme="8" tint="0.7999816888943144"/>
        </patternFill>
      </fill>
    </dxf>
    <dxf>
      <font>
        <color rgb="FF0070C0"/>
      </font>
      <fill>
        <patternFill>
          <bgColor theme="8" tint="0.7999816888943144"/>
        </patternFill>
      </fill>
    </dxf>
    <dxf>
      <font>
        <color theme="7" tint="-0.499984740745262"/>
      </font>
      <fill>
        <patternFill>
          <bgColor theme="7" tint="0.7999816888943144"/>
        </patternFill>
      </fill>
    </dxf>
    <dxf>
      <font>
        <color theme="7" tint="-0.499984740745262"/>
      </font>
      <fill>
        <patternFill>
          <bgColor theme="7" tint="0.7999816888943144"/>
        </patternFill>
      </fill>
    </dxf>
    <dxf>
      <font>
        <color rgb="FF0070C0"/>
      </font>
      <fill>
        <patternFill>
          <bgColor theme="8" tint="0.7999816888943144"/>
        </patternFill>
      </fill>
    </dxf>
    <dxf>
      <font>
        <color theme="5" tint="-0.499984740745262"/>
      </font>
      <fill>
        <patternFill>
          <bgColor theme="5" tint="0.7999816888943144"/>
        </patternFill>
      </fill>
    </dxf>
    <dxf>
      <font>
        <color theme="5" tint="-0.499984740745262"/>
      </font>
      <fill>
        <patternFill>
          <bgColor theme="5" tint="0.7999816888943144"/>
        </patternFill>
      </fill>
    </dxf>
    <dxf>
      <font>
        <color rgb="FF0070C0"/>
      </font>
      <fill>
        <patternFill>
          <bgColor rgb="FFFFFF00"/>
        </patternFill>
      </fill>
    </dxf>
    <dxf>
      <font>
        <color rgb="FF0070C0"/>
      </font>
      <fill>
        <patternFill>
          <bgColor rgb="FFFFFF00"/>
        </patternFill>
      </fill>
    </dxf>
    <dxf>
      <font>
        <color rgb="FF0070C0"/>
      </font>
      <fill>
        <patternFill>
          <bgColor rgb="FFFFFF00"/>
        </patternFill>
      </fill>
    </dxf>
    <dxf>
      <font>
        <color rgb="FF0070C0"/>
      </font>
      <fill>
        <patternFill>
          <bgColor rgb="FFFFFF00"/>
        </patternFill>
      </fill>
    </dxf>
    <dxf>
      <font>
        <color theme="7" tint="-0.499984740745262"/>
      </font>
      <fill>
        <patternFill>
          <bgColor theme="7" tint="0.7999816888943144"/>
        </patternFill>
      </fill>
    </dxf>
    <dxf>
      <font>
        <color rgb="FF0070C0"/>
      </font>
      <fill>
        <patternFill>
          <bgColor theme="8" tint="0.7999816888943144"/>
        </patternFill>
      </fill>
    </dxf>
    <dxf>
      <font>
        <color theme="7" tint="-0.499984740745262"/>
      </font>
      <fill>
        <patternFill>
          <bgColor theme="7" tint="0.7999816888943144"/>
        </patternFill>
      </fill>
    </dxf>
    <dxf>
      <font>
        <color rgb="FF0070C0"/>
      </font>
      <fill>
        <patternFill>
          <bgColor theme="8" tint="0.7999816888943144"/>
        </patternFill>
      </fill>
    </dxf>
    <dxf>
      <font>
        <color theme="7" tint="-0.499984740745262"/>
      </font>
      <fill>
        <patternFill>
          <bgColor theme="7" tint="0.7999816888943144"/>
        </patternFill>
      </fill>
    </dxf>
    <dxf>
      <font>
        <color rgb="FF0070C0"/>
      </font>
      <fill>
        <patternFill>
          <bgColor theme="8" tint="0.7999816888943144"/>
        </patternFill>
      </fill>
    </dxf>
    <dxf>
      <font>
        <color theme="7" tint="-0.499984740745262"/>
      </font>
      <fill>
        <patternFill>
          <bgColor theme="7" tint="0.7999816888943144"/>
        </patternFill>
      </fill>
    </dxf>
    <dxf>
      <font>
        <color rgb="FF0070C0"/>
      </font>
      <fill>
        <patternFill>
          <bgColor theme="8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9" tint="0.7999816888943144"/>
        </patternFill>
      </fill>
    </dxf>
    <dxf>
      <font>
        <color theme="5" tint="-0.249946592608417"/>
      </font>
      <fill>
        <patternFill>
          <bgColor theme="7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theme="1"/>
      </font>
      <fill>
        <patternFill>
          <bgColor theme="0" tint="-0.249946592608417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70C0"/>
      </font>
      <fill>
        <patternFill>
          <bgColor theme="8" tint="0.7999816888943144"/>
        </patternFill>
      </fill>
    </dxf>
    <dxf>
      <font>
        <color rgb="FF0070C0"/>
      </font>
      <fill>
        <patternFill>
          <bgColor theme="8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7" tint="0.7999816888943144"/>
        </patternFill>
      </fill>
    </dxf>
    <dxf>
      <font>
        <color rgb="FF002060"/>
      </font>
      <fill>
        <patternFill>
          <bgColor theme="9" tint="0.7999816888943144"/>
        </patternFill>
      </fill>
    </dxf>
    <dxf>
      <font>
        <color rgb="FF002060"/>
      </font>
      <fill>
        <patternFill>
          <bgColor theme="8" tint="0.7999816888943144"/>
        </patternFill>
      </fill>
    </dxf>
    <dxf>
      <font>
        <color rgb="FF0070C0"/>
      </font>
      <fill>
        <patternFill>
          <bgColor theme="8" tint="0.7999816888943144"/>
        </patternFill>
      </fill>
    </dxf>
    <dxf>
      <font>
        <color theme="5" tint="-0.249946592608417"/>
      </font>
      <fill>
        <patternFill>
          <bgColor theme="7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None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Summary!$K$25</f>
              <strCache>
                <ptCount val="1"/>
                <pt idx="0">
                  <v>Execution Rate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Summary!$F$26:$F$33</f>
              <strCache>
                <ptCount val="8"/>
                <pt idx="0">
                  <v>pxp1.port0_x8</v>
                </pt>
                <pt idx="1">
                  <v>pxp1.port4_x8</v>
                </pt>
                <pt idx="2">
                  <v>pxp3.port0_x16</v>
                </pt>
                <pt idx="3">
                  <v>pxp4.port0_x8</v>
                </pt>
                <pt idx="4">
                  <v>pxp4.port4_x8</v>
                </pt>
                <pt idx="5">
                  <v>pxp9.port0_x16</v>
                </pt>
                <pt idx="6">
                  <v>pxp11.port0_x16</v>
                </pt>
                <pt idx="7">
                  <v>pxp12.port0_x16</v>
                </pt>
              </strCache>
            </strRef>
          </cat>
          <val>
            <numRef>
              <f>Summary!$K$26:$K$33</f>
              <numCache>
                <formatCode>0.00%</formatCode>
                <ptCount val="8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</numCache>
            </numRef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806176479"/>
        <axId val="1806176959"/>
      </barChart>
      <catAx>
        <axId val="180617647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06176959"/>
        <crosses val="autoZero"/>
        <auto val="1"/>
        <lblAlgn val="ctr"/>
        <lblOffset val="100"/>
        <noMultiLvlLbl val="0"/>
      </catAx>
      <valAx>
        <axId val="180617695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06176479"/>
        <crosses val="autoZero"/>
        <crossBetween val="between"/>
      </valAx>
    </plotArea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None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Summary!$L$25</f>
              <strCache>
                <ptCount val="1"/>
                <pt idx="0">
                  <v>Pass Rate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Pt>
            <idx val="7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Summary!$F$26:$F$33</f>
              <strCache>
                <ptCount val="8"/>
                <pt idx="0">
                  <v>pxp1.port0_x8</v>
                </pt>
                <pt idx="1">
                  <v>pxp1.port4_x8</v>
                </pt>
                <pt idx="2">
                  <v>pxp3.port0_x16</v>
                </pt>
                <pt idx="3">
                  <v>pxp4.port0_x8</v>
                </pt>
                <pt idx="4">
                  <v>pxp4.port4_x8</v>
                </pt>
                <pt idx="5">
                  <v>pxp9.port0_x16</v>
                </pt>
                <pt idx="6">
                  <v>pxp11.port0_x16</v>
                </pt>
                <pt idx="7">
                  <v>pxp12.port0_x16</v>
                </pt>
              </strCache>
            </strRef>
          </cat>
          <val>
            <numRef>
              <f>Summary!$L$26:$L$33</f>
              <numCache>
                <formatCode>0.00%</formatCode>
                <ptCount val="8"/>
                <pt idx="0">
                  <v>0.9444444444444444</v>
                </pt>
                <pt idx="1">
                  <v>0.9444444444444444</v>
                </pt>
                <pt idx="2">
                  <v>1</v>
                </pt>
                <pt idx="3">
                  <v>0.9444444444444444</v>
                </pt>
                <pt idx="4">
                  <v>0.9444444444444444</v>
                </pt>
                <pt idx="5">
                  <v>1</v>
                </pt>
                <pt idx="6">
                  <v>1</v>
                </pt>
                <pt idx="7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616093727"/>
        <axId val="1616088447"/>
      </barChart>
      <catAx>
        <axId val="16160937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16088447"/>
        <crosses val="autoZero"/>
        <auto val="1"/>
        <lblAlgn val="ctr"/>
        <lblOffset val="100"/>
        <noMultiLvlLbl val="0"/>
      </catAx>
      <valAx>
        <axId val="1616088447"/>
        <scaling>
          <orientation val="minMax"/>
          <max val="1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16093727"/>
        <crosses val="autoZero"/>
        <crossBetween val="between"/>
      </valAx>
    </plotArea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0</colOff>
      <row>36</row>
      <rowOff>29880</rowOff>
    </from>
    <to>
      <col>5</col>
      <colOff>425824</colOff>
      <row>57</row>
      <rowOff>7469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5</col>
      <colOff>769471</colOff>
      <row>36</row>
      <rowOff>32871</rowOff>
    </from>
    <to>
      <col>11</col>
      <colOff>0</colOff>
      <row>56</row>
      <rowOff>171823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hsdes.intel.com/appstore/article-one/" TargetMode="External" Id="rId1"/><Relationship Type="http://schemas.openxmlformats.org/officeDocument/2006/relationships/hyperlink" Target="http://10.239.81.58/Xeon/NTA/PCIE/xfusion/unit2-dbgsz11/pxp1.port0_x8/LTSSM/" TargetMode="External" Id="rId2"/><Relationship Type="http://schemas.openxmlformats.org/officeDocument/2006/relationships/hyperlink" Target="https://hsdes.intel.com/appstore/article-one/" TargetMode="External" Id="rId3"/><Relationship Type="http://schemas.openxmlformats.org/officeDocument/2006/relationships/hyperlink" Target="http://10.239.81.58/Xeon/NTA/PCIE/xfusion/unit2-dbgsz11/pxp1.port4_x8/LTSSM/" TargetMode="External" Id="rId4"/><Relationship Type="http://schemas.openxmlformats.org/officeDocument/2006/relationships/hyperlink" Target="http://10.239.81.58/Xeon/NTA/PCIE/xfusion/unit2-dbgsz11/pxp3.port0_x16/LTSSM/" TargetMode="External" Id="rId5"/><Relationship Type="http://schemas.openxmlformats.org/officeDocument/2006/relationships/hyperlink" Target="http://10.239.81.58/Xeon/NTA/PCIE/xfusion/unit2-dbgsz11/pxp4.port0_x8/LTSSM/" TargetMode="External" Id="rId6"/><Relationship Type="http://schemas.openxmlformats.org/officeDocument/2006/relationships/hyperlink" Target="http://10.239.81.58/Xeon/NTA/PCIE/xfusion/unit2-dbgsz11/pxp4.port4_x8/LTSSM/" TargetMode="External" Id="rId7"/><Relationship Type="http://schemas.openxmlformats.org/officeDocument/2006/relationships/hyperlink" Target="http://10.239.81.58/Xeon/NTA/PCIE/xfusion/unit2-dbgsz11/pxp9.port0_x16/LTSSM/" TargetMode="External" Id="rId8"/><Relationship Type="http://schemas.openxmlformats.org/officeDocument/2006/relationships/hyperlink" Target="http://10.239.81.58/Xeon/NTA/PCIE/xfusion/unit2-dbgsz11/pxp11.port0_x16/LTSSM/" TargetMode="External" Id="rId9"/><Relationship Type="http://schemas.openxmlformats.org/officeDocument/2006/relationships/hyperlink" Target="http://10.239.81.58/Xeon/NTA/PCIE/xfusion/unit2-dbgsz11/pxp12.port0_x16/LTSSM/" TargetMode="External" Id="rId10"/><Relationship Type="http://schemas.openxmlformats.org/officeDocument/2006/relationships/hyperlink" Target="https://hsdes.intel.com/appstore/article-one/" TargetMode="External" Id="rId11"/><Relationship Type="http://schemas.openxmlformats.org/officeDocument/2006/relationships/hyperlink" Target="http://10.239.81.58/Xeon/NTA/PCIE/xfusion/unit2-dbgsz11/pxp1.port0_x8/SMV/" TargetMode="External" Id="rId12"/><Relationship Type="http://schemas.openxmlformats.org/officeDocument/2006/relationships/hyperlink" Target="https://hsdes.intel.com/appstore/article-one/" TargetMode="External" Id="rId13"/><Relationship Type="http://schemas.openxmlformats.org/officeDocument/2006/relationships/hyperlink" Target="http://10.239.81.58/Xeon/NTA/PCIE/xfusion/unit2-dbgsz11/pxp1.port4_x8/SMV/" TargetMode="External" Id="rId14"/><Relationship Type="http://schemas.openxmlformats.org/officeDocument/2006/relationships/hyperlink" Target="http://10.239.81.58/Xeon/NTA/PCIE/xfusion/unit2-dbgsz11/pxp3.port0_x16/SMV/" TargetMode="External" Id="rId15"/><Relationship Type="http://schemas.openxmlformats.org/officeDocument/2006/relationships/hyperlink" Target="http://10.239.81.58/Xeon/NTA/PCIE/xfusion/unit2-dbgsz11/pxp4.port0_x8/SMV/" TargetMode="External" Id="rId16"/><Relationship Type="http://schemas.openxmlformats.org/officeDocument/2006/relationships/hyperlink" Target="http://10.239.81.58/Xeon/NTA/PCIE/xfusion/unit2-dbgsz11/pxp4.port4_x8/SMV/" TargetMode="External" Id="rId17"/><Relationship Type="http://schemas.openxmlformats.org/officeDocument/2006/relationships/hyperlink" Target="http://10.239.81.58/Xeon/NTA/PCIE/xfusion/unit2-dbgsz11/pxp9.port0_x16/SMV/" TargetMode="External" Id="rId18"/><Relationship Type="http://schemas.openxmlformats.org/officeDocument/2006/relationships/hyperlink" Target="http://10.239.81.58/Xeon/NTA/PCIE/xfusion/unit2-dbgsz11/pxp11.port0_x16/SMV/" TargetMode="External" Id="rId19"/><Relationship Type="http://schemas.openxmlformats.org/officeDocument/2006/relationships/hyperlink" Target="http://10.239.81.58/Xeon/NTA/PCIE/xfusion/unit2-dbgsz11/pxp12.port0_x16/SMV/" TargetMode="External" Id="rId20"/><Relationship Type="http://schemas.openxmlformats.org/officeDocument/2006/relationships/hyperlink" Target="https://hsdes.intel.com/appstore/article-one/" TargetMode="External" Id="rId21"/><Relationship Type="http://schemas.openxmlformats.org/officeDocument/2006/relationships/hyperlink" Target="http://10.239.81.58/Xeon/NTA/PCIE/xfusion/unit2-dbgsz11/pxp1.port0_x8/LTSSM/" TargetMode="External" Id="rId22"/><Relationship Type="http://schemas.openxmlformats.org/officeDocument/2006/relationships/hyperlink" Target="https://hsdes.intel.com/appstore/article-one/" TargetMode="External" Id="rId23"/><Relationship Type="http://schemas.openxmlformats.org/officeDocument/2006/relationships/hyperlink" Target="http://10.239.81.58/Xeon/NTA/PCIE/xfusion/unit2-dbgsz11/pxp1.port4_x8/LTSSM/" TargetMode="External" Id="rId24"/><Relationship Type="http://schemas.openxmlformats.org/officeDocument/2006/relationships/hyperlink" Target="http://10.239.81.58/Xeon/NTA/PCIE/xfusion/unit2-dbgsz11/pxp3.port0_x16/LTSSM/" TargetMode="External" Id="rId25"/><Relationship Type="http://schemas.openxmlformats.org/officeDocument/2006/relationships/hyperlink" Target="http://10.239.81.58/Xeon/NTA/PCIE/xfusion/unit2-dbgsz11/pxp4.port0_x8/LTSSM/" TargetMode="External" Id="rId26"/><Relationship Type="http://schemas.openxmlformats.org/officeDocument/2006/relationships/hyperlink" Target="http://10.239.81.58/Xeon/NTA/PCIE/xfusion/unit2-dbgsz11/pxp4.port4_x8/LTSSM/" TargetMode="External" Id="rId27"/><Relationship Type="http://schemas.openxmlformats.org/officeDocument/2006/relationships/hyperlink" Target="http://10.239.81.58/Xeon/NTA/PCIE/xfusion/unit2-dbgsz11/pxp9.port0_x16/LTSSM/" TargetMode="External" Id="rId28"/><Relationship Type="http://schemas.openxmlformats.org/officeDocument/2006/relationships/hyperlink" Target="http://10.239.81.58/Xeon/NTA/PCIE/xfusion/unit2-dbgsz11/pxp11.port0_x16/LTSSM/" TargetMode="External" Id="rId29"/><Relationship Type="http://schemas.openxmlformats.org/officeDocument/2006/relationships/hyperlink" Target="http://10.239.81.58/Xeon/NTA/PCIE/xfusion/unit2-dbgsz11/pxp12.port0_x16/LTSSM/" TargetMode="External" Id="rId30"/><Relationship Type="http://schemas.openxmlformats.org/officeDocument/2006/relationships/hyperlink" Target="https://hsdes.intel.com/appstore/article-one/" TargetMode="External" Id="rId31"/><Relationship Type="http://schemas.openxmlformats.org/officeDocument/2006/relationships/hyperlink" Target="http://10.239.81.58/Xeon/NTA/PCIE/xfusion/unit2-dbgsz11/pxp1.port0_x8/SMV/" TargetMode="External" Id="rId32"/><Relationship Type="http://schemas.openxmlformats.org/officeDocument/2006/relationships/hyperlink" Target="https://hsdes.intel.com/appstore/article-one/" TargetMode="External" Id="rId33"/><Relationship Type="http://schemas.openxmlformats.org/officeDocument/2006/relationships/hyperlink" Target="http://10.239.81.58/Xeon/NTA/PCIE/xfusion/unit2-dbgsz11/pxp1.port4_x8/SMV/" TargetMode="External" Id="rId34"/><Relationship Type="http://schemas.openxmlformats.org/officeDocument/2006/relationships/hyperlink" Target="http://10.239.81.58/Xeon/NTA/PCIE/xfusion/unit2-dbgsz11/pxp3.port0_x16/SMV/" TargetMode="External" Id="rId35"/><Relationship Type="http://schemas.openxmlformats.org/officeDocument/2006/relationships/hyperlink" Target="http://10.239.81.58/Xeon/NTA/PCIE/xfusion/unit2-dbgsz11/pxp4.port0_x8/SMV/" TargetMode="External" Id="rId36"/><Relationship Type="http://schemas.openxmlformats.org/officeDocument/2006/relationships/hyperlink" Target="http://10.239.81.58/Xeon/NTA/PCIE/xfusion/unit2-dbgsz11/pxp4.port4_x8/SMV/" TargetMode="External" Id="rId37"/><Relationship Type="http://schemas.openxmlformats.org/officeDocument/2006/relationships/hyperlink" Target="http://10.239.81.58/Xeon/NTA/PCIE/xfusion/unit2-dbgsz11/pxp9.port0_x16/SMV/" TargetMode="External" Id="rId38"/><Relationship Type="http://schemas.openxmlformats.org/officeDocument/2006/relationships/hyperlink" Target="http://10.239.81.58/Xeon/NTA/PCIE/xfusion/unit2-dbgsz11/pxp11.port0_x16/SMV/" TargetMode="External" Id="rId39"/><Relationship Type="http://schemas.openxmlformats.org/officeDocument/2006/relationships/hyperlink" Target="http://10.239.81.58/Xeon/NTA/PCIE/xfusion/unit2-dbgsz11/pxp12.port0_x16/SMV/" TargetMode="External" Id="rId40"/></Relationships>
</file>

<file path=xl/worksheets/_rels/sheet6.xml.rels><Relationships xmlns="http://schemas.openxmlformats.org/package/2006/relationships"><Relationship Type="http://schemas.openxmlformats.org/officeDocument/2006/relationships/hyperlink" Target="http://10.239.81.58/Xeon/NTA/PCIE/JNC2-dbgsh83/pxp1/LTSSM_Stress/" TargetMode="External" Id="rId1"/><Relationship Type="http://schemas.openxmlformats.org/officeDocument/2006/relationships/hyperlink" Target="http://10.239.81.58/Xeon/NTA/PCIE/JNC2-dbgsh83/pxp3/LTSSM_Stress/" TargetMode="External" Id="rId2"/><Relationship Type="http://schemas.openxmlformats.org/officeDocument/2006/relationships/hyperlink" Target="http://10.239.81.58/Xeon/NTA/PCIE/JNC2-dbgsh83/pxp4/LTSSM_Stress/" TargetMode="External" Id="rId3"/><Relationship Type="http://schemas.openxmlformats.org/officeDocument/2006/relationships/hyperlink" Target="http://10.239.81.58/Xeon/NTA/PCIE/JNC2-dbgsh83/pxp9/LTSSM_Stress/" TargetMode="External" Id="rId4"/><Relationship Type="http://schemas.openxmlformats.org/officeDocument/2006/relationships/hyperlink" Target="http://10.239.81.58/Xeon/NTA/PCIE/JNC2-dbgsh83/pxp11/LTSSM_Stress/" TargetMode="External" Id="rId5"/><Relationship Type="http://schemas.openxmlformats.org/officeDocument/2006/relationships/hyperlink" Target="http://10.239.81.58/Xeon/NTA/PCIE/JNC2-dbgsh83/pxp1_12_x4x4x4x4_E1.S/LTSSM_Stress/" TargetMode="External" Id="rId6"/><Relationship Type="http://schemas.openxmlformats.org/officeDocument/2006/relationships/hyperlink" Target="http://10.239.81.58/Xeon/NTA/PCIE/JNC2-dbgsh83/pxp1_12_x4x4x4x4_E1.S/LTSSM_Stress/" TargetMode="External" Id="rId7"/><Relationship Type="http://schemas.openxmlformats.org/officeDocument/2006/relationships/hyperlink" Target="http://10.239.81.58/Xeon/NTA/PCIE/JNC2-dbgsh83/pxp1_12_x4x4x4x4_E1.S/LTSSM_Stress/" TargetMode="External" Id="rId8"/><Relationship Type="http://schemas.openxmlformats.org/officeDocument/2006/relationships/hyperlink" Target="http://10.239.81.58/Xeon/NTA/PCIE/JNC2-dbgsh83/pxp1_12_x4x4x4x4_E1.S/LTSSM_Stress/" TargetMode="External" Id="rId9"/><Relationship Type="http://schemas.openxmlformats.org/officeDocument/2006/relationships/hyperlink" Target="http://10.239.81.58/Xeon/NTA/PCIE/JNC2-dbgsh83/pxp1_12_x4x4x4x4_E1.S/LTSSM_Stress/" TargetMode="External" Id="rId10"/><Relationship Type="http://schemas.openxmlformats.org/officeDocument/2006/relationships/hyperlink" Target="http://10.239.81.58/Xeon/NTA/PCIE/JNC2-dbgsh83/pxp1_12_x4x4x4x4_E1.S/LTSSM_Stress/" TargetMode="External" Id="rId11"/><Relationship Type="http://schemas.openxmlformats.org/officeDocument/2006/relationships/hyperlink" Target="http://10.239.81.58/Xeon/NTA/PCIE/JNC2-dbgsh83/pxp1_12_x4x4x4x4_E1.S/LTSSM_Stress/" TargetMode="External" Id="rId12"/><Relationship Type="http://schemas.openxmlformats.org/officeDocument/2006/relationships/hyperlink" Target="http://10.239.81.58/Xeon/NTA/PCIE/JNC2-dbgsh83/pxp1_12_x4x4x4x4_E1.S/LTSSM_Stress/" TargetMode="External" Id="rId13"/><Relationship Type="http://schemas.openxmlformats.org/officeDocument/2006/relationships/hyperlink" Target="http://10.239.81.58/Xeon/NTA/PCIE/JNC2-dbgsh83/pxp1/SMV_Margin_Test/" TargetMode="External" Id="rId14"/><Relationship Type="http://schemas.openxmlformats.org/officeDocument/2006/relationships/hyperlink" Target="http://10.239.81.58/Xeon/NTA/PCIE/JNC2-dbgsh83/pxp3/SMV_Margin_Test/" TargetMode="External" Id="rId15"/><Relationship Type="http://schemas.openxmlformats.org/officeDocument/2006/relationships/hyperlink" Target="http://10.239.81.58/Xeon/NTA/PCIE/JNC2-dbgsh83/pxp4/SMV_Margin_Test/" TargetMode="External" Id="rId16"/><Relationship Type="http://schemas.openxmlformats.org/officeDocument/2006/relationships/hyperlink" Target="http://10.239.81.58/Xeon/NTA/PCIE/JNC2-dbgsh83/pxp9/SMV_Margin_Test/" TargetMode="External" Id="rId17"/><Relationship Type="http://schemas.openxmlformats.org/officeDocument/2006/relationships/hyperlink" Target="http://10.239.81.58/Xeon/NTA/PCIE/JNC2-dbgsh83/pxp11/SMV_Margin_Test/" TargetMode="External" Id="rId18"/><Relationship Type="http://schemas.openxmlformats.org/officeDocument/2006/relationships/hyperlink" Target="http://10.239.81.58/Xeon/NTA/PCIE/JNC2-dbgsh83/pxp1_12_x4x4x4x4_E1.S/SMV_Margin_Test/GEN6/" TargetMode="External" Id="rId19"/><Relationship Type="http://schemas.openxmlformats.org/officeDocument/2006/relationships/hyperlink" Target="http://10.239.81.58/Xeon/NTA/PCIE/JNC2-dbgsh83/pxp1_12_x4x4x4x4_E1.S/SMV_Margin_Test/GEN6/" TargetMode="External" Id="rId20"/><Relationship Type="http://schemas.openxmlformats.org/officeDocument/2006/relationships/hyperlink" Target="http://10.239.81.58/Xeon/NTA/PCIE/JNC2-dbgsh83/pxp1_12_x4x4x4x4_E1.S/SMV_Margin_Test/GEN6/" TargetMode="External" Id="rId21"/><Relationship Type="http://schemas.openxmlformats.org/officeDocument/2006/relationships/hyperlink" Target="http://10.239.81.58/Xeon/NTA/PCIE/JNC2-dbgsh83/pxp1_12_x4x4x4x4_E1.S/SMV_Margin_Test/GEN6/" TargetMode="External" Id="rId22"/><Relationship Type="http://schemas.openxmlformats.org/officeDocument/2006/relationships/hyperlink" Target="http://10.239.81.58/Xeon/NTA/PCIE/JNC2-dbgsh83/pxp1_12_x4x4x4x4_E1.S/SMV_Margin_Test/GEN6/" TargetMode="External" Id="rId23"/><Relationship Type="http://schemas.openxmlformats.org/officeDocument/2006/relationships/hyperlink" Target="http://10.239.81.58/Xeon/NTA/PCIE/JNC2-dbgsh83/pxp1_12_x4x4x4x4_E1.S/SMV_Margin_Test/GEN6/" TargetMode="External" Id="rId24"/><Relationship Type="http://schemas.openxmlformats.org/officeDocument/2006/relationships/hyperlink" Target="http://10.239.81.58/Xeon/NTA/PCIE/JNC2-dbgsh83/pxp1_12_x4x4x4x4_E1.S/SMV_Margin_Test/GEN6/" TargetMode="External" Id="rId25"/><Relationship Type="http://schemas.openxmlformats.org/officeDocument/2006/relationships/hyperlink" Target="http://10.239.81.58/Xeon/NTA/PCIE/JNC2-dbgsh83/pxp1_12_x4x4x4x4_E1.S/SMV_Margin_Test/GEN6/" TargetMode="External" Id="rId26"/><Relationship Type="http://schemas.openxmlformats.org/officeDocument/2006/relationships/hyperlink" Target="http://10.239.81.58/Xeon/NTA/PCIE/JNC2-dbgsh83/pxp1/LTSSM_Stress/" TargetMode="External" Id="rId27"/><Relationship Type="http://schemas.openxmlformats.org/officeDocument/2006/relationships/hyperlink" Target="http://10.239.81.58/Xeon/NTA/PCIE/JNC2-dbgsh83/pxp3/LTSSM_Stress/" TargetMode="External" Id="rId28"/><Relationship Type="http://schemas.openxmlformats.org/officeDocument/2006/relationships/hyperlink" Target="http://10.239.81.58/Xeon/NTA/PCIE/JNC2-dbgsh83/pxp4/LTSSM_Stress/" TargetMode="External" Id="rId29"/><Relationship Type="http://schemas.openxmlformats.org/officeDocument/2006/relationships/hyperlink" Target="http://10.239.81.58/Xeon/NTA/PCIE/JNC2-dbgsh83/pxp9/LTSSM_Stress/" TargetMode="External" Id="rId30"/><Relationship Type="http://schemas.openxmlformats.org/officeDocument/2006/relationships/hyperlink" Target="http://10.239.81.58/Xeon/NTA/PCIE/JNC2-dbgsh83/pxp11/LTSSM_Stress/" TargetMode="External" Id="rId31"/><Relationship Type="http://schemas.openxmlformats.org/officeDocument/2006/relationships/hyperlink" Target="http://10.239.81.58/Xeon/NTA/PCIE/JNC2-dbgsh83/pxp1_12_x4x4x4x4_E1.S/LTSSM_Stress/" TargetMode="External" Id="rId32"/><Relationship Type="http://schemas.openxmlformats.org/officeDocument/2006/relationships/hyperlink" Target="http://10.239.81.58/Xeon/NTA/PCIE/JNC2-dbgsh83/pxp1_12_x4x4x4x4_E1.S/LTSSM_Stress/" TargetMode="External" Id="rId33"/><Relationship Type="http://schemas.openxmlformats.org/officeDocument/2006/relationships/hyperlink" Target="http://10.239.81.58/Xeon/NTA/PCIE/JNC2-dbgsh83/pxp1_12_x4x4x4x4_E1.S/LTSSM_Stress/" TargetMode="External" Id="rId34"/><Relationship Type="http://schemas.openxmlformats.org/officeDocument/2006/relationships/hyperlink" Target="http://10.239.81.58/Xeon/NTA/PCIE/JNC2-dbgsh83/pxp1_12_x4x4x4x4_E1.S/LTSSM_Stress/" TargetMode="External" Id="rId35"/><Relationship Type="http://schemas.openxmlformats.org/officeDocument/2006/relationships/hyperlink" Target="http://10.239.81.58/Xeon/NTA/PCIE/JNC2-dbgsh83/pxp1_12_x4x4x4x4_E1.S/LTSSM_Stress/" TargetMode="External" Id="rId36"/><Relationship Type="http://schemas.openxmlformats.org/officeDocument/2006/relationships/hyperlink" Target="http://10.239.81.58/Xeon/NTA/PCIE/JNC2-dbgsh83/pxp1_12_x4x4x4x4_E1.S/LTSSM_Stress/" TargetMode="External" Id="rId37"/><Relationship Type="http://schemas.openxmlformats.org/officeDocument/2006/relationships/hyperlink" Target="http://10.239.81.58/Xeon/NTA/PCIE/JNC2-dbgsh83/pxp1_12_x4x4x4x4_E1.S/LTSSM_Stress/" TargetMode="External" Id="rId38"/><Relationship Type="http://schemas.openxmlformats.org/officeDocument/2006/relationships/hyperlink" Target="http://10.239.81.58/Xeon/NTA/PCIE/JNC2-dbgsh83/pxp1_12_x4x4x4x4_E1.S/LTSSM_Stress/" TargetMode="External" Id="rId39"/><Relationship Type="http://schemas.openxmlformats.org/officeDocument/2006/relationships/hyperlink" Target="http://10.239.81.58/Xeon/NTA/PCIE/JNC2-dbgsh83/pxp1/SMV_Margin_Test/" TargetMode="External" Id="rId40"/><Relationship Type="http://schemas.openxmlformats.org/officeDocument/2006/relationships/hyperlink" Target="http://10.239.81.58/Xeon/NTA/PCIE/JNC2-dbgsh83/pxp3/SMV_Margin_Test/" TargetMode="External" Id="rId41"/><Relationship Type="http://schemas.openxmlformats.org/officeDocument/2006/relationships/hyperlink" Target="http://10.239.81.58/Xeon/NTA/PCIE/JNC2-dbgsh83/pxp4/SMV_Margin_Test/" TargetMode="External" Id="rId42"/><Relationship Type="http://schemas.openxmlformats.org/officeDocument/2006/relationships/hyperlink" Target="http://10.239.81.58/Xeon/NTA/PCIE/JNC2-dbgsh83/pxp9/SMV_Margin_Test/" TargetMode="External" Id="rId43"/><Relationship Type="http://schemas.openxmlformats.org/officeDocument/2006/relationships/hyperlink" Target="http://10.239.81.58/Xeon/NTA/PCIE/JNC2-dbgsh83/pxp11/SMV_Margin_Test/" TargetMode="External" Id="rId44"/><Relationship Type="http://schemas.openxmlformats.org/officeDocument/2006/relationships/hyperlink" Target="http://10.239.81.58/Xeon/NTA/PCIE/JNC2-dbgsh83/pxp1_12_x4x4x4x4_E1.S/SMV_Margin_Test/GEN5/" TargetMode="External" Id="rId45"/><Relationship Type="http://schemas.openxmlformats.org/officeDocument/2006/relationships/hyperlink" Target="http://10.239.81.58/Xeon/NTA/PCIE/JNC2-dbgsh83/pxp1_12_x4x4x4x4_E1.S/SMV_Margin_Test/GEN5/" TargetMode="External" Id="rId46"/><Relationship Type="http://schemas.openxmlformats.org/officeDocument/2006/relationships/hyperlink" Target="http://10.239.81.58/Xeon/NTA/PCIE/JNC2-dbgsh83/pxp1_12_x4x4x4x4_E1.S/SMV_Margin_Test/GEN5/" TargetMode="External" Id="rId47"/><Relationship Type="http://schemas.openxmlformats.org/officeDocument/2006/relationships/hyperlink" Target="http://10.239.81.58/Xeon/NTA/PCIE/JNC2-dbgsh83/pxp1_12_x4x4x4x4_E1.S/SMV_Margin_Test/GEN5/" TargetMode="External" Id="rId48"/><Relationship Type="http://schemas.openxmlformats.org/officeDocument/2006/relationships/hyperlink" Target="http://10.239.81.58/Xeon/NTA/PCIE/JNC2-dbgsh83/pxp1_12_x4x4x4x4_E1.S/SMV_Margin_Test/GEN5/" TargetMode="External" Id="rId49"/><Relationship Type="http://schemas.openxmlformats.org/officeDocument/2006/relationships/hyperlink" Target="http://10.239.81.58/Xeon/NTA/PCIE/JNC2-dbgsh83/pxp1_12_x4x4x4x4_E1.S/SMV_Margin_Test/GEN5/" TargetMode="External" Id="rId50"/><Relationship Type="http://schemas.openxmlformats.org/officeDocument/2006/relationships/hyperlink" Target="http://10.239.81.58/Xeon/NTA/PCIE/JNC2-dbgsh83/pxp1_12_x4x4x4x4_E1.S/SMV_Margin_Test/GEN5/" TargetMode="External" Id="rId51"/><Relationship Type="http://schemas.openxmlformats.org/officeDocument/2006/relationships/hyperlink" Target="http://10.239.81.58/Xeon/NTA/PCIE/JNC2-dbgsh83/pxp1_12_x4x4x4x4_E1.S/SMV_Margin_Test/GEN5/" TargetMode="External" Id="rId52"/></Relationships>
</file>

<file path=xl/worksheets/_rels/sheet8.xml.rels><Relationships xmlns="http://schemas.openxmlformats.org/package/2006/relationships"><Relationship Type="http://schemas.openxmlformats.org/officeDocument/2006/relationships/hyperlink" Target="https://hsdes.intel.com/appstore/article-one/" TargetMode="External" Id="rId1"/><Relationship Type="http://schemas.openxmlformats.org/officeDocument/2006/relationships/hyperlink" Target="https://hsdes.intel.com/appstore/article-one/" TargetMode="External" Id="rId2"/><Relationship Type="http://schemas.openxmlformats.org/officeDocument/2006/relationships/hyperlink" Target="https://hsdes.intel.com/appstore/article-one/" TargetMode="External" Id="rId3"/><Relationship Type="http://schemas.openxmlformats.org/officeDocument/2006/relationships/hyperlink" Target="https://hsdes.intel.com/appstore/article-one/" TargetMode="External" Id="rId4"/></Relationships>
</file>

<file path=xl/worksheets/sheet1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C31"/>
  <sheetViews>
    <sheetView zoomScaleNormal="100" workbookViewId="0">
      <pane ySplit="1" topLeftCell="A2" activePane="bottomLeft" state="frozen"/>
      <selection pane="bottomLeft" activeCell="E28" sqref="E28"/>
    </sheetView>
  </sheetViews>
  <sheetFormatPr baseColWidth="8" defaultRowHeight="14.5"/>
  <cols>
    <col width="7.453125" customWidth="1" min="1" max="1"/>
    <col width="33.26953125" customWidth="1" min="2" max="2"/>
    <col width="38.81640625" customWidth="1" min="3" max="3"/>
    <col width="29.453125" customWidth="1" min="4" max="4"/>
  </cols>
  <sheetData>
    <row r="1">
      <c r="A1" s="90" t="inlineStr">
        <is>
          <t xml:space="preserve">Test Environment </t>
        </is>
      </c>
      <c r="B1" s="91" t="n"/>
      <c r="C1" s="91" t="n"/>
    </row>
    <row r="2">
      <c r="A2" s="92" t="inlineStr">
        <is>
          <t>HW</t>
        </is>
      </c>
      <c r="B2" s="107" t="inlineStr">
        <is>
          <t>Host</t>
        </is>
      </c>
      <c r="C2" s="107" t="inlineStr">
        <is>
          <t>dbgsz11</t>
        </is>
      </c>
    </row>
    <row r="3">
      <c r="A3" s="93" t="n"/>
      <c r="B3" s="107" t="inlineStr">
        <is>
          <t>Board</t>
        </is>
      </c>
      <c r="C3" s="107" t="inlineStr">
        <is>
          <t>xFusion #2</t>
        </is>
      </c>
    </row>
    <row r="4">
      <c r="A4" s="93" t="n"/>
      <c r="B4" s="107" t="inlineStr">
        <is>
          <t>xFusion MLB  s/n</t>
        </is>
      </c>
      <c r="C4" s="28" t="inlineStr">
        <is>
          <t>02YACYLHS3000001</t>
        </is>
      </c>
    </row>
    <row r="5">
      <c r="A5" s="93" t="n"/>
      <c r="B5" s="107" t="inlineStr">
        <is>
          <t>BMC MLB SN</t>
        </is>
      </c>
      <c r="C5" s="28" t="inlineStr">
        <is>
          <t>02YABSXFR90008(old)</t>
        </is>
      </c>
    </row>
    <row r="6">
      <c r="A6" s="93" t="n"/>
      <c r="B6" s="107" t="inlineStr">
        <is>
          <t>CPU QDF</t>
        </is>
      </c>
      <c r="C6" s="107" t="inlineStr">
        <is>
          <t>CPU DMR-AP1/A0 X1/ES1/Q9WK</t>
        </is>
      </c>
    </row>
    <row r="7">
      <c r="A7" s="93" t="n"/>
      <c r="B7" s="107" t="inlineStr">
        <is>
          <t>CPU NO.</t>
        </is>
      </c>
      <c r="C7" s="107" t="inlineStr">
        <is>
          <t>R-U03383</t>
        </is>
      </c>
    </row>
    <row r="8">
      <c r="A8" s="93" t="n"/>
      <c r="B8" s="107" t="inlineStr">
        <is>
          <t>CPU SN</t>
        </is>
      </c>
      <c r="C8" s="107" t="inlineStr">
        <is>
          <t xml:space="preserve">D5US998200043 </t>
        </is>
      </c>
    </row>
    <row r="9">
      <c r="A9" s="93" t="n"/>
      <c r="B9" s="107" t="inlineStr">
        <is>
          <t>CPU PPIN</t>
        </is>
      </c>
      <c r="C9" s="107" t="inlineStr">
        <is>
          <t>5795964AD7886700</t>
        </is>
      </c>
    </row>
    <row r="10">
      <c r="A10" s="93" t="n"/>
      <c r="B10" s="107" t="inlineStr">
        <is>
          <t>CX8 SN</t>
        </is>
      </c>
      <c r="C10" s="107" t="inlineStr">
        <is>
          <t>MT2529J01M5T</t>
        </is>
      </c>
    </row>
    <row r="11">
      <c r="A11" s="93" t="n"/>
      <c r="B11" s="107" t="inlineStr">
        <is>
          <t>RISER SN</t>
        </is>
      </c>
      <c r="C11" s="107" t="inlineStr">
        <is>
          <t>02YAVXFS2000010</t>
        </is>
      </c>
    </row>
    <row r="12">
      <c r="A12" s="93" t="n"/>
      <c r="B12" s="67" t="inlineStr">
        <is>
          <t>PDB</t>
        </is>
      </c>
      <c r="C12" s="107" t="inlineStr">
        <is>
          <t>?</t>
        </is>
      </c>
    </row>
    <row r="13">
      <c r="A13" s="93" t="n"/>
      <c r="B13" s="67" t="inlineStr">
        <is>
          <t>MCIO cable 1</t>
        </is>
      </c>
      <c r="C13" s="107" t="inlineStr">
        <is>
          <t>?</t>
        </is>
      </c>
    </row>
    <row r="14">
      <c r="A14" s="93" t="n"/>
      <c r="B14" s="67" t="inlineStr">
        <is>
          <t>MCIO cable 2</t>
        </is>
      </c>
      <c r="C14" s="107" t="inlineStr">
        <is>
          <t>?</t>
        </is>
      </c>
    </row>
    <row r="15">
      <c r="A15" s="93" t="n"/>
      <c r="B15" s="67" t="inlineStr">
        <is>
          <t>MT cable</t>
        </is>
      </c>
      <c r="C15" s="107" t="inlineStr">
        <is>
          <t>?</t>
        </is>
      </c>
    </row>
    <row r="16">
      <c r="A16" s="93" t="n"/>
      <c r="B16" s="67" t="inlineStr">
        <is>
          <t>MT board</t>
        </is>
      </c>
      <c r="C16" s="107" t="inlineStr">
        <is>
          <t>?</t>
        </is>
      </c>
    </row>
    <row r="17">
      <c r="A17" s="93" t="n"/>
      <c r="B17" s="107" t="inlineStr">
        <is>
          <t>PSU</t>
        </is>
      </c>
      <c r="C17" s="107" t="inlineStr">
        <is>
          <t>210231YDAT</t>
        </is>
      </c>
    </row>
    <row r="18">
      <c r="A18" s="93" t="n"/>
      <c r="B18" s="67" t="inlineStr">
        <is>
          <t>HPM Power Cable</t>
        </is>
      </c>
      <c r="C18" s="107" t="inlineStr">
        <is>
          <t>?</t>
        </is>
      </c>
    </row>
    <row r="19">
      <c r="A19" s="93" t="n"/>
      <c r="B19" s="67" t="inlineStr">
        <is>
          <t>HPM Power Board</t>
        </is>
      </c>
      <c r="C19" s="107" t="inlineStr">
        <is>
          <t>?</t>
        </is>
      </c>
    </row>
    <row r="20">
      <c r="A20" s="93" t="n"/>
      <c r="B20" s="67" t="inlineStr">
        <is>
          <t>DIMM</t>
        </is>
      </c>
      <c r="C20" s="66" t="inlineStr">
        <is>
          <t>SAMSUNG 32G 2RX8 6400  1DPC</t>
        </is>
      </c>
    </row>
    <row r="21">
      <c r="A21" s="94" t="n"/>
      <c r="B21" s="67" t="inlineStr">
        <is>
          <t>XDP</t>
        </is>
      </c>
      <c r="C21" s="66" t="inlineStr">
        <is>
          <t>F2221398</t>
        </is>
      </c>
    </row>
    <row r="22">
      <c r="A22" s="92" t="inlineStr">
        <is>
          <t>SW</t>
        </is>
      </c>
      <c r="B22" s="107" t="inlineStr">
        <is>
          <t>BIOS ID</t>
        </is>
      </c>
      <c r="C22" s="107" t="inlineStr">
        <is>
          <t>OKSDCRB1.IPC.0032.D91.2604210616</t>
        </is>
      </c>
    </row>
    <row r="23">
      <c r="A23" s="93" t="n"/>
      <c r="B23" s="107" t="inlineStr">
        <is>
          <t>recipe_version</t>
        </is>
      </c>
      <c r="C23" s="107" t="inlineStr">
        <is>
          <t>PCIE.001.000.MAIN.Ax</t>
        </is>
      </c>
    </row>
    <row r="24">
      <c r="A24" s="93" t="n"/>
      <c r="B24" s="107" t="inlineStr">
        <is>
          <t>firmware_version</t>
        </is>
      </c>
      <c r="C24" s="107" t="inlineStr">
        <is>
          <t>25WW36.3.AxBx'</t>
        </is>
      </c>
    </row>
    <row r="25">
      <c r="A25" s="93" t="n"/>
      <c r="B25" s="107" t="inlineStr">
        <is>
          <t>CX8 FW</t>
        </is>
      </c>
      <c r="C25" s="107" t="inlineStr">
        <is>
          <t>?</t>
        </is>
      </c>
    </row>
    <row r="26">
      <c r="A26" s="93" t="n"/>
      <c r="B26" s="107" t="inlineStr">
        <is>
          <t xml:space="preserve">mainboard CPLD </t>
        </is>
      </c>
      <c r="C26" s="95" t="n">
        <v>0.07000000000000001</v>
      </c>
    </row>
    <row r="27">
      <c r="A27" s="93" t="n"/>
      <c r="B27" s="107" t="inlineStr">
        <is>
          <t>mainboard VRD</t>
        </is>
      </c>
      <c r="C27" s="95" t="n">
        <v>1</v>
      </c>
    </row>
    <row r="28">
      <c r="A28" s="93" t="n"/>
      <c r="B28" s="107" t="inlineStr">
        <is>
          <t>BMC Firmwarm</t>
        </is>
      </c>
      <c r="C28" s="107" t="inlineStr">
        <is>
          <t>3.09.02.06</t>
        </is>
      </c>
    </row>
    <row r="29">
      <c r="A29" s="93" t="n"/>
      <c r="B29" s="107" t="inlineStr">
        <is>
          <t>MMC firmware version</t>
        </is>
      </c>
      <c r="C29" s="107" t="inlineStr">
        <is>
          <t>0.770.0 (0x00030200)</t>
        </is>
      </c>
    </row>
    <row r="30">
      <c r="A30" s="93" t="n"/>
      <c r="B30" s="107" t="inlineStr">
        <is>
          <t>Pythonsv</t>
        </is>
      </c>
      <c r="C30" s="107" t="inlineStr">
        <is>
          <t>Python3.10.9</t>
        </is>
      </c>
    </row>
    <row r="31">
      <c r="A31" s="94" t="n"/>
      <c r="B31" s="107" t="inlineStr">
        <is>
          <t>Memtest86 Ver</t>
        </is>
      </c>
      <c r="C31" s="107" t="inlineStr">
        <is>
          <t>MemTest86 V11.6 Pro (64-bit)/USB:</t>
        </is>
      </c>
    </row>
  </sheetData>
  <mergeCells count="3">
    <mergeCell ref="A1:C1"/>
    <mergeCell ref="A2:A21"/>
    <mergeCell ref="A22:A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topLeftCell="A4" workbookViewId="0">
      <selection activeCell="H18" sqref="H18"/>
    </sheetView>
  </sheetViews>
  <sheetFormatPr baseColWidth="8" defaultRowHeight="14.5"/>
  <cols>
    <col width="24" customWidth="1" min="1" max="1"/>
    <col width="33.7265625" customWidth="1" min="2" max="2"/>
    <col width="11.453125" customWidth="1" min="3" max="3"/>
    <col width="27.1796875" customWidth="1" min="4" max="4"/>
  </cols>
  <sheetData>
    <row r="1">
      <c r="A1" s="70" t="inlineStr">
        <is>
          <t>PCIe NTA system config2</t>
        </is>
      </c>
      <c r="B1" s="95" t="inlineStr">
        <is>
          <t>dbgsz11</t>
        </is>
      </c>
      <c r="C1" s="96" t="n"/>
      <c r="D1" s="97" t="n"/>
    </row>
    <row r="2">
      <c r="A2" s="71" t="inlineStr">
        <is>
          <t>Compoment</t>
        </is>
      </c>
      <c r="B2" s="71" t="inlineStr">
        <is>
          <t>Version</t>
        </is>
      </c>
      <c r="C2" s="71" t="inlineStr">
        <is>
          <t>Quantity</t>
        </is>
      </c>
      <c r="D2" s="71" t="inlineStr">
        <is>
          <t>SN</t>
        </is>
      </c>
    </row>
    <row r="3">
      <c r="A3" s="71" t="inlineStr">
        <is>
          <t>BIOS</t>
        </is>
      </c>
      <c r="B3" s="72" t="inlineStr">
        <is>
          <t>OKSDCRB1.IPC.0032.D91.2604210616</t>
        </is>
      </c>
      <c r="C3" s="95" t="n"/>
      <c r="D3" s="95" t="n"/>
    </row>
    <row r="4">
      <c r="A4" s="71" t="inlineStr">
        <is>
          <t>Recipe</t>
        </is>
      </c>
      <c r="B4" s="95" t="inlineStr">
        <is>
          <t>/</t>
        </is>
      </c>
      <c r="C4" s="95" t="n"/>
      <c r="D4" s="95" t="n"/>
    </row>
    <row r="5">
      <c r="A5" s="71" t="inlineStr">
        <is>
          <t>CPLD FW</t>
        </is>
      </c>
      <c r="B5" s="95" t="n">
        <v>0.07000000000000001</v>
      </c>
      <c r="C5" s="95" t="n"/>
      <c r="D5" s="95" t="n"/>
    </row>
    <row r="6">
      <c r="A6" s="71" t="inlineStr">
        <is>
          <t>BMC FW</t>
        </is>
      </c>
      <c r="B6" s="95" t="inlineStr">
        <is>
          <t>3.09.02.06</t>
        </is>
      </c>
      <c r="C6" s="95" t="n"/>
      <c r="D6" s="95" t="n"/>
    </row>
    <row r="7">
      <c r="A7" s="71" t="inlineStr">
        <is>
          <t>CX8 FW</t>
        </is>
      </c>
      <c r="B7" s="73" t="n"/>
      <c r="C7" s="95" t="n">
        <v>1</v>
      </c>
      <c r="D7" s="95" t="inlineStr">
        <is>
          <t>MT2529J01M5T</t>
        </is>
      </c>
    </row>
    <row r="8">
      <c r="A8" s="71" t="inlineStr">
        <is>
          <t>CPU</t>
        </is>
      </c>
      <c r="B8" s="95" t="inlineStr">
        <is>
          <t>Q9WK</t>
        </is>
      </c>
      <c r="C8" s="95" t="n">
        <v>1</v>
      </c>
      <c r="D8" s="95" t="inlineStr">
        <is>
          <t>R-U03383</t>
        </is>
      </c>
    </row>
    <row r="9">
      <c r="A9" s="71" t="inlineStr">
        <is>
          <t>MB</t>
        </is>
      </c>
      <c r="B9" s="95" t="inlineStr">
        <is>
          <t>2188H V9</t>
        </is>
      </c>
      <c r="C9" s="95" t="n">
        <v>1</v>
      </c>
      <c r="D9" s="95" t="inlineStr">
        <is>
          <t>02YACYLHS3000001</t>
        </is>
      </c>
    </row>
    <row r="10">
      <c r="A10" s="71" t="inlineStr">
        <is>
          <t>DC-SCM</t>
        </is>
      </c>
      <c r="B10" s="95" t="inlineStr">
        <is>
          <t>/</t>
        </is>
      </c>
      <c r="C10" s="74" t="n">
        <v>1</v>
      </c>
      <c r="D10" s="75" t="inlineStr">
        <is>
          <t>02YABSXFR90008</t>
        </is>
      </c>
    </row>
    <row r="11">
      <c r="A11" s="71" t="inlineStr">
        <is>
          <t>PDB</t>
        </is>
      </c>
      <c r="B11" s="74" t="inlineStr">
        <is>
          <t>/</t>
        </is>
      </c>
      <c r="C11" s="74" t="n"/>
      <c r="D11" s="74" t="n"/>
    </row>
    <row r="12">
      <c r="A12" s="71" t="inlineStr">
        <is>
          <t xml:space="preserve">Riser card </t>
        </is>
      </c>
      <c r="B12" s="95" t="inlineStr">
        <is>
          <t>/</t>
        </is>
      </c>
      <c r="C12" s="74" t="n">
        <v>1</v>
      </c>
      <c r="D12" s="95" t="inlineStr">
        <is>
          <t>02YAVXFS2000010/02YAVXFR90000008</t>
        </is>
      </c>
    </row>
    <row r="13">
      <c r="A13" s="71" t="inlineStr">
        <is>
          <t>MCIO cable 1</t>
        </is>
      </c>
      <c r="B13" s="95" t="inlineStr">
        <is>
          <t>/</t>
        </is>
      </c>
      <c r="C13" s="95" t="n"/>
      <c r="D13" s="95" t="n"/>
    </row>
    <row r="14">
      <c r="A14" s="71" t="inlineStr">
        <is>
          <t>MCIO cable 2</t>
        </is>
      </c>
      <c r="B14" s="95" t="inlineStr">
        <is>
          <t>/</t>
        </is>
      </c>
      <c r="C14" s="95" t="n"/>
      <c r="D14" s="95" t="n"/>
    </row>
    <row r="15">
      <c r="A15" s="71" t="inlineStr">
        <is>
          <t>MT cable</t>
        </is>
      </c>
      <c r="B15" s="95" t="inlineStr">
        <is>
          <t>/</t>
        </is>
      </c>
      <c r="C15" s="95" t="n"/>
      <c r="D15" s="95" t="n"/>
    </row>
    <row r="16">
      <c r="A16" s="71" t="inlineStr">
        <is>
          <t>MT board</t>
        </is>
      </c>
      <c r="B16" s="95" t="inlineStr">
        <is>
          <t>/</t>
        </is>
      </c>
      <c r="C16" s="95" t="n"/>
      <c r="D16" s="95" t="n"/>
    </row>
    <row r="17">
      <c r="A17" s="71" t="inlineStr">
        <is>
          <t>PSU</t>
        </is>
      </c>
      <c r="B17" s="72" t="inlineStr">
        <is>
          <t>/</t>
        </is>
      </c>
      <c r="C17" s="74" t="n"/>
      <c r="D17" s="74" t="inlineStr">
        <is>
          <t>210231YDAT</t>
        </is>
      </c>
    </row>
    <row r="18">
      <c r="A18" s="71" t="inlineStr">
        <is>
          <t>HPM Power Cable</t>
        </is>
      </c>
      <c r="B18" s="95" t="inlineStr">
        <is>
          <t>/</t>
        </is>
      </c>
      <c r="C18" s="95" t="n"/>
      <c r="D18" s="95" t="n"/>
    </row>
    <row r="19">
      <c r="A19" s="71" t="inlineStr">
        <is>
          <t>HPM Power Board</t>
        </is>
      </c>
      <c r="B19" s="95" t="inlineStr">
        <is>
          <t>/</t>
        </is>
      </c>
      <c r="C19" s="95" t="n"/>
      <c r="D19" s="95" t="n"/>
    </row>
    <row r="20">
      <c r="A20" s="71" t="inlineStr">
        <is>
          <t>CX8 NTA test card</t>
        </is>
      </c>
      <c r="B20" s="95" t="inlineStr">
        <is>
          <t>/</t>
        </is>
      </c>
      <c r="C20" s="95" t="n"/>
      <c r="D20" s="95" t="n"/>
    </row>
    <row r="21">
      <c r="A21" s="71" t="inlineStr">
        <is>
          <t>DIMM</t>
        </is>
      </c>
      <c r="B21" s="72" t="inlineStr">
        <is>
          <t>SAMSUNG 32G 2RX8 6400  1DCP</t>
        </is>
      </c>
      <c r="C21" s="95" t="n"/>
      <c r="D21" s="95" t="inlineStr">
        <is>
          <t>SAMSUNG 32G 2RX8 6400  1DCP</t>
        </is>
      </c>
    </row>
    <row r="22">
      <c r="A22" s="71" t="inlineStr">
        <is>
          <t>XDP</t>
        </is>
      </c>
      <c r="B22" s="95" t="inlineStr">
        <is>
          <t>/</t>
        </is>
      </c>
      <c r="C22" s="95" t="n"/>
      <c r="D22" s="95" t="inlineStr">
        <is>
          <t>F2221398</t>
        </is>
      </c>
    </row>
  </sheetData>
  <mergeCells count="1">
    <mergeCell ref="B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002060"/>
    <outlinePr summaryBelow="1" summaryRight="1"/>
    <pageSetUpPr/>
  </sheetPr>
  <dimension ref="A1:L34"/>
  <sheetViews>
    <sheetView showGridLines="0" zoomScaleNormal="100" workbookViewId="0">
      <selection activeCell="N27" sqref="N27"/>
    </sheetView>
  </sheetViews>
  <sheetFormatPr baseColWidth="8" defaultRowHeight="14.5"/>
  <cols>
    <col width="19.54296875" customWidth="1" min="1" max="10"/>
    <col width="19.54296875" customWidth="1" style="14" min="11" max="11"/>
    <col width="16.453125" customWidth="1" min="12" max="12"/>
    <col width="12.1796875" bestFit="1" customWidth="1" min="13" max="13"/>
    <col width="12.81640625" bestFit="1" customWidth="1" min="14" max="14"/>
    <col width="11.54296875" customWidth="1" min="15" max="15"/>
  </cols>
  <sheetData>
    <row r="1">
      <c r="A1" s="98" t="inlineStr">
        <is>
          <t>Machine</t>
        </is>
      </c>
      <c r="B1" s="98" t="inlineStr">
        <is>
          <t>Test Owner</t>
        </is>
      </c>
      <c r="C1" s="98" t="inlineStr">
        <is>
          <t>Project Name</t>
        </is>
      </c>
      <c r="D1" s="98" t="inlineStr">
        <is>
          <t>CPU/QDF</t>
        </is>
      </c>
      <c r="E1" s="98" t="inlineStr">
        <is>
          <t>DIMM Group</t>
        </is>
      </c>
      <c r="F1" s="98" t="inlineStr">
        <is>
          <t>pxpstr.portstr_width</t>
        </is>
      </c>
      <c r="G1" s="98" t="inlineStr">
        <is>
          <t>LTSSM</t>
        </is>
      </c>
      <c r="H1" s="97" t="n"/>
      <c r="I1" s="98" t="inlineStr">
        <is>
          <t>SMV_Margin</t>
        </is>
      </c>
      <c r="J1" s="97" t="n"/>
      <c r="K1" s="99" t="inlineStr">
        <is>
          <t>Note</t>
        </is>
      </c>
    </row>
    <row r="2">
      <c r="A2" s="94" t="n"/>
      <c r="B2" s="94" t="n"/>
      <c r="C2" s="94" t="n"/>
      <c r="D2" s="94" t="n"/>
      <c r="E2" s="94" t="n"/>
      <c r="F2" s="94" t="n"/>
      <c r="G2" s="1" t="inlineStr">
        <is>
          <t>GEN6</t>
        </is>
      </c>
      <c r="H2" s="1" t="inlineStr">
        <is>
          <t>GEN5</t>
        </is>
      </c>
      <c r="I2" s="1" t="inlineStr">
        <is>
          <t>GEN6</t>
        </is>
      </c>
      <c r="J2" s="1" t="inlineStr">
        <is>
          <t>GEN5</t>
        </is>
      </c>
      <c r="K2" s="94" t="n"/>
    </row>
    <row r="3">
      <c r="A3" s="2" t="inlineStr">
        <is>
          <t>dbgsz11</t>
        </is>
      </c>
      <c r="B3" s="2" t="inlineStr">
        <is>
          <t>name</t>
        </is>
      </c>
      <c r="C3" s="2" t="inlineStr">
        <is>
          <t>Board</t>
        </is>
      </c>
      <c r="D3" s="2" t="inlineStr">
        <is>
          <t>stage</t>
        </is>
      </c>
      <c r="E3" s="2" t="inlineStr">
        <is>
          <t>DIMM Group</t>
        </is>
      </c>
      <c r="F3" s="2" t="n"/>
      <c r="G3" s="103" t="inlineStr">
        <is>
          <t>Execution Rate</t>
        </is>
      </c>
      <c r="H3" s="96" t="n"/>
      <c r="I3" s="96" t="n"/>
      <c r="J3" s="97" t="n"/>
      <c r="K3" s="19" t="n"/>
    </row>
    <row r="4" ht="16.75" customHeight="1">
      <c r="A4" s="3" t="inlineStr">
        <is>
          <t>xFusion #2</t>
        </is>
      </c>
      <c r="B4" s="3" t="inlineStr">
        <is>
          <t>Huang, Qian</t>
        </is>
      </c>
      <c r="C4" s="4" t="inlineStr">
        <is>
          <t>02YACYLHS3000001</t>
        </is>
      </c>
      <c r="D4" s="4" t="inlineStr">
        <is>
          <t>ES1/Q9WK</t>
        </is>
      </c>
      <c r="E4" s="6" t="inlineStr">
        <is>
          <t>SAMSUNG 32G 2RX8 6400  1DPC</t>
        </is>
      </c>
      <c r="F4" s="5" t="inlineStr">
        <is>
          <t>pxp1.port0_x8</t>
        </is>
      </c>
      <c r="G4" s="51" t="n">
        <v>1</v>
      </c>
      <c r="H4" s="51" t="n">
        <v>1</v>
      </c>
      <c r="I4" s="51" t="n">
        <v>1</v>
      </c>
      <c r="J4" s="51" t="n">
        <v>1</v>
      </c>
      <c r="K4" s="107" t="inlineStr">
        <is>
          <t>No Blocking Cases</t>
        </is>
      </c>
    </row>
    <row r="5" ht="16.75" customHeight="1">
      <c r="A5" s="3" t="inlineStr">
        <is>
          <t>xFusion #2</t>
        </is>
      </c>
      <c r="B5" s="3" t="inlineStr">
        <is>
          <t>Huang, Qian</t>
        </is>
      </c>
      <c r="C5" s="4" t="inlineStr">
        <is>
          <t>02YACYLHS3000001</t>
        </is>
      </c>
      <c r="D5" s="4" t="inlineStr">
        <is>
          <t>ES1/Q9WK</t>
        </is>
      </c>
      <c r="E5" s="6" t="inlineStr">
        <is>
          <t>SAMSUNG 32G 2RX8 6400  1DPC</t>
        </is>
      </c>
      <c r="F5" s="5" t="inlineStr">
        <is>
          <t>pxp1.port4_x8</t>
        </is>
      </c>
      <c r="G5" s="51" t="n">
        <v>1</v>
      </c>
      <c r="H5" s="51" t="n">
        <v>1</v>
      </c>
      <c r="I5" s="51" t="n">
        <v>1</v>
      </c>
      <c r="J5" s="51" t="n">
        <v>1</v>
      </c>
      <c r="K5" s="107" t="inlineStr">
        <is>
          <t>No Blocking Cases</t>
        </is>
      </c>
    </row>
    <row r="6" ht="16.75" customHeight="1">
      <c r="A6" s="3" t="inlineStr">
        <is>
          <t>xFusion #2</t>
        </is>
      </c>
      <c r="B6" s="3" t="inlineStr">
        <is>
          <t>Huang, Qian</t>
        </is>
      </c>
      <c r="C6" s="4" t="inlineStr">
        <is>
          <t>02YACYLHS3000001</t>
        </is>
      </c>
      <c r="D6" s="4" t="inlineStr">
        <is>
          <t>ES1/Q9WK</t>
        </is>
      </c>
      <c r="E6" s="6" t="inlineStr">
        <is>
          <t>SAMSUNG 32G 2RX8 6400  1DPC</t>
        </is>
      </c>
      <c r="F6" s="5" t="inlineStr">
        <is>
          <t>pxp3.port0_x16</t>
        </is>
      </c>
      <c r="G6" s="51" t="n">
        <v>1</v>
      </c>
      <c r="H6" s="51" t="n">
        <v>1</v>
      </c>
      <c r="I6" s="51" t="n">
        <v>1</v>
      </c>
      <c r="J6" s="51" t="n">
        <v>1</v>
      </c>
      <c r="K6" s="107" t="inlineStr">
        <is>
          <t>No Blocking Cases</t>
        </is>
      </c>
    </row>
    <row r="7" ht="16.75" customHeight="1">
      <c r="A7" s="3" t="inlineStr">
        <is>
          <t>xFusion #2</t>
        </is>
      </c>
      <c r="B7" s="3" t="inlineStr">
        <is>
          <t>Huang, Qian</t>
        </is>
      </c>
      <c r="C7" s="4" t="inlineStr">
        <is>
          <t>02YACYLHS3000001</t>
        </is>
      </c>
      <c r="D7" s="4" t="inlineStr">
        <is>
          <t>ES1/Q9WK</t>
        </is>
      </c>
      <c r="E7" s="6" t="inlineStr">
        <is>
          <t>SAMSUNG 32G 2RX8 6400  1DPC</t>
        </is>
      </c>
      <c r="F7" s="5" t="inlineStr">
        <is>
          <t>pxp4.port0_x8</t>
        </is>
      </c>
      <c r="G7" s="51" t="n">
        <v>1</v>
      </c>
      <c r="H7" s="51" t="n">
        <v>1</v>
      </c>
      <c r="I7" s="51" t="n">
        <v>1</v>
      </c>
      <c r="J7" s="51" t="n">
        <v>1</v>
      </c>
      <c r="K7" s="107" t="inlineStr">
        <is>
          <t>No Blocking Cases</t>
        </is>
      </c>
    </row>
    <row r="8" ht="16.75" customHeight="1">
      <c r="A8" s="3" t="inlineStr">
        <is>
          <t>xFusion #2</t>
        </is>
      </c>
      <c r="B8" s="3" t="inlineStr">
        <is>
          <t>Huang, Qian</t>
        </is>
      </c>
      <c r="C8" s="4" t="inlineStr">
        <is>
          <t>02YACYLHS3000001</t>
        </is>
      </c>
      <c r="D8" s="4" t="inlineStr">
        <is>
          <t>ES1/Q9WK</t>
        </is>
      </c>
      <c r="E8" s="6" t="inlineStr">
        <is>
          <t>SAMSUNG 32G 2RX8 6400  1DPC</t>
        </is>
      </c>
      <c r="F8" s="5" t="inlineStr">
        <is>
          <t>pxp4.port4_x8</t>
        </is>
      </c>
      <c r="G8" s="51" t="n">
        <v>1</v>
      </c>
      <c r="H8" s="51" t="n">
        <v>1</v>
      </c>
      <c r="I8" s="51" t="n">
        <v>1</v>
      </c>
      <c r="J8" s="51" t="n">
        <v>1</v>
      </c>
      <c r="K8" s="107" t="inlineStr">
        <is>
          <t>No Blocking Cases</t>
        </is>
      </c>
    </row>
    <row r="9" ht="16.75" customHeight="1">
      <c r="A9" s="3" t="inlineStr">
        <is>
          <t>xFusion #2</t>
        </is>
      </c>
      <c r="B9" s="3" t="inlineStr">
        <is>
          <t>Huang, Qian</t>
        </is>
      </c>
      <c r="C9" s="4" t="inlineStr">
        <is>
          <t>02YACYLHS3000001</t>
        </is>
      </c>
      <c r="D9" s="4" t="inlineStr">
        <is>
          <t>ES1/Q9WK</t>
        </is>
      </c>
      <c r="E9" s="6" t="inlineStr">
        <is>
          <t>SAMSUNG 32G 2RX8 6400  1DPC</t>
        </is>
      </c>
      <c r="F9" s="5" t="inlineStr">
        <is>
          <t>pxp9.port0_x16</t>
        </is>
      </c>
      <c r="G9" s="51" t="n">
        <v>1</v>
      </c>
      <c r="H9" s="51" t="n">
        <v>1</v>
      </c>
      <c r="I9" s="51" t="n">
        <v>1</v>
      </c>
      <c r="J9" s="51" t="n">
        <v>1</v>
      </c>
      <c r="K9" s="107" t="inlineStr">
        <is>
          <t>No Blocking Cases</t>
        </is>
      </c>
    </row>
    <row r="10" ht="16.75" customHeight="1">
      <c r="A10" s="3" t="inlineStr">
        <is>
          <t>xFusion #2</t>
        </is>
      </c>
      <c r="B10" s="3" t="inlineStr">
        <is>
          <t>Huang, Qian</t>
        </is>
      </c>
      <c r="C10" s="4" t="inlineStr">
        <is>
          <t>02YACYLHS3000001</t>
        </is>
      </c>
      <c r="D10" s="4" t="inlineStr">
        <is>
          <t>ES1/Q9WK</t>
        </is>
      </c>
      <c r="E10" s="6" t="inlineStr">
        <is>
          <t>SAMSUNG 32G 2RX8 6400  1DPC</t>
        </is>
      </c>
      <c r="F10" s="5" t="inlineStr">
        <is>
          <t>pxp11.port0_x16</t>
        </is>
      </c>
      <c r="G10" s="51" t="n">
        <v>1</v>
      </c>
      <c r="H10" s="51" t="n">
        <v>1</v>
      </c>
      <c r="I10" s="51" t="n">
        <v>1</v>
      </c>
      <c r="J10" s="51" t="n">
        <v>1</v>
      </c>
      <c r="K10" s="107" t="inlineStr">
        <is>
          <t>No Blocking Cases</t>
        </is>
      </c>
    </row>
    <row r="11" ht="16.75" customHeight="1">
      <c r="A11" s="3" t="inlineStr">
        <is>
          <t>xFusion #2</t>
        </is>
      </c>
      <c r="B11" s="3" t="inlineStr">
        <is>
          <t>Huang, Qian</t>
        </is>
      </c>
      <c r="C11" s="4" t="inlineStr">
        <is>
          <t>02YACYLHS3000001</t>
        </is>
      </c>
      <c r="D11" s="4" t="inlineStr">
        <is>
          <t>ES1/Q9WK</t>
        </is>
      </c>
      <c r="E11" s="6" t="inlineStr">
        <is>
          <t>SAMSUNG 32G 2RX8 6400  1DPC</t>
        </is>
      </c>
      <c r="F11" s="5" t="inlineStr">
        <is>
          <t>pxp12.port0_x16</t>
        </is>
      </c>
      <c r="G11" s="51" t="n">
        <v>1</v>
      </c>
      <c r="H11" s="51" t="n">
        <v>1</v>
      </c>
      <c r="I11" s="51" t="n">
        <v>1</v>
      </c>
      <c r="J11" s="51" t="n">
        <v>1</v>
      </c>
      <c r="K11" s="107" t="inlineStr">
        <is>
          <t>No Blocking Cases</t>
        </is>
      </c>
    </row>
    <row r="13">
      <c r="A13" s="98" t="inlineStr">
        <is>
          <t>Machine</t>
        </is>
      </c>
      <c r="B13" s="98" t="inlineStr">
        <is>
          <t>Test Owner</t>
        </is>
      </c>
      <c r="C13" s="98" t="inlineStr">
        <is>
          <t>Project Name</t>
        </is>
      </c>
      <c r="D13" s="98" t="inlineStr">
        <is>
          <t>CPU/QDF</t>
        </is>
      </c>
      <c r="E13" s="98" t="inlineStr">
        <is>
          <t>DIMM Group</t>
        </is>
      </c>
      <c r="F13" s="98" t="inlineStr">
        <is>
          <t>Bifurcation</t>
        </is>
      </c>
      <c r="G13" s="98" t="inlineStr">
        <is>
          <t>LTSSM</t>
        </is>
      </c>
      <c r="H13" s="97" t="n"/>
      <c r="I13" s="98" t="inlineStr">
        <is>
          <t>SMV_Margin</t>
        </is>
      </c>
      <c r="J13" s="97" t="n"/>
      <c r="K13" s="99" t="inlineStr">
        <is>
          <t>Note</t>
        </is>
      </c>
    </row>
    <row r="14">
      <c r="A14" s="94" t="n"/>
      <c r="B14" s="94" t="n"/>
      <c r="C14" s="94" t="n"/>
      <c r="D14" s="94" t="n"/>
      <c r="E14" s="94" t="n"/>
      <c r="F14" s="94" t="n"/>
      <c r="G14" s="1" t="inlineStr">
        <is>
          <t>GEN6</t>
        </is>
      </c>
      <c r="H14" s="1" t="inlineStr">
        <is>
          <t>GEN5</t>
        </is>
      </c>
      <c r="I14" s="1" t="inlineStr">
        <is>
          <t>GEN6</t>
        </is>
      </c>
      <c r="J14" s="1" t="inlineStr">
        <is>
          <t>GEN5</t>
        </is>
      </c>
      <c r="K14" s="94" t="n"/>
    </row>
    <row r="15">
      <c r="A15" s="2" t="inlineStr">
        <is>
          <t>dbgsz11</t>
        </is>
      </c>
      <c r="B15" s="2" t="inlineStr">
        <is>
          <t>name</t>
        </is>
      </c>
      <c r="C15" s="2" t="inlineStr">
        <is>
          <t>Board</t>
        </is>
      </c>
      <c r="D15" s="2" t="inlineStr">
        <is>
          <t>stage</t>
        </is>
      </c>
      <c r="E15" s="2" t="inlineStr">
        <is>
          <t>DIMM Group</t>
        </is>
      </c>
      <c r="F15" s="2" t="n"/>
      <c r="G15" s="104" t="inlineStr">
        <is>
          <t>Pass Rate</t>
        </is>
      </c>
      <c r="H15" s="96" t="n"/>
      <c r="I15" s="96" t="n"/>
      <c r="J15" s="97" t="n"/>
      <c r="K15" s="19" t="n"/>
    </row>
    <row r="16">
      <c r="A16" s="3" t="inlineStr">
        <is>
          <t>xFusion #2</t>
        </is>
      </c>
      <c r="B16" s="3" t="inlineStr">
        <is>
          <t>Huang, Qian</t>
        </is>
      </c>
      <c r="C16" s="4" t="inlineStr">
        <is>
          <t>02YACYLHS3000001</t>
        </is>
      </c>
      <c r="D16" s="4" t="inlineStr">
        <is>
          <t>ES1/Q9WK</t>
        </is>
      </c>
      <c r="E16" s="6" t="inlineStr">
        <is>
          <t>SAMSUNG 32G 2RX8 6400  1DPC</t>
        </is>
      </c>
      <c r="F16" s="5" t="inlineStr">
        <is>
          <t>pxp1.port0_x8</t>
        </is>
      </c>
      <c r="G16" s="51" t="n">
        <v>0.875</v>
      </c>
      <c r="H16" s="51" t="n">
        <v>1</v>
      </c>
      <c r="I16" s="51" t="n">
        <v>1</v>
      </c>
      <c r="J16" s="51" t="n">
        <v>1</v>
      </c>
      <c r="K16" s="26" t="inlineStr">
        <is>
          <t>link_disable: Dev 0.pxp1.port0 is in DL_Down after test!</t>
        </is>
      </c>
    </row>
    <row r="17">
      <c r="A17" s="3" t="inlineStr">
        <is>
          <t>xFusion #2</t>
        </is>
      </c>
      <c r="B17" s="3" t="inlineStr">
        <is>
          <t>Huang, Qian</t>
        </is>
      </c>
      <c r="C17" s="4" t="inlineStr">
        <is>
          <t>02YACYLHS3000001</t>
        </is>
      </c>
      <c r="D17" s="4" t="inlineStr">
        <is>
          <t>ES1/Q9WK</t>
        </is>
      </c>
      <c r="E17" s="6" t="inlineStr">
        <is>
          <t>SAMSUNG 32G 2RX8 6400  1DPC</t>
        </is>
      </c>
      <c r="F17" s="5" t="inlineStr">
        <is>
          <t>pxp1.port4_x8</t>
        </is>
      </c>
      <c r="G17" s="51" t="n">
        <v>0.875</v>
      </c>
      <c r="H17" s="51" t="n">
        <v>1</v>
      </c>
      <c r="I17" s="51" t="n">
        <v>1</v>
      </c>
      <c r="J17" s="51" t="n">
        <v>1</v>
      </c>
      <c r="K17" s="26" t="inlineStr">
        <is>
          <t>link_disable: Dev 0.pxp1.port4 is in DL_Down after test!</t>
        </is>
      </c>
      <c r="L17" t="inlineStr">
        <is>
          <t xml:space="preserve"> </t>
        </is>
      </c>
    </row>
    <row r="18">
      <c r="A18" s="3" t="inlineStr">
        <is>
          <t>xFusion #2</t>
        </is>
      </c>
      <c r="B18" s="3" t="inlineStr">
        <is>
          <t>Huang, Qian</t>
        </is>
      </c>
      <c r="C18" s="4" t="inlineStr">
        <is>
          <t>02YACYLHS3000001</t>
        </is>
      </c>
      <c r="D18" s="4" t="inlineStr">
        <is>
          <t>ES1/Q9WK</t>
        </is>
      </c>
      <c r="E18" s="6" t="inlineStr">
        <is>
          <t>SAMSUNG 32G 2RX8 6400  1DPC</t>
        </is>
      </c>
      <c r="F18" s="5" t="inlineStr">
        <is>
          <t>pxp3.port0_x16</t>
        </is>
      </c>
      <c r="G18" s="51" t="n">
        <v>1</v>
      </c>
      <c r="H18" s="51" t="n">
        <v>1</v>
      </c>
      <c r="I18" s="51" t="n">
        <v>1</v>
      </c>
      <c r="J18" s="51" t="n">
        <v>1</v>
      </c>
      <c r="K18" s="26" t="n"/>
    </row>
    <row r="19">
      <c r="A19" s="3" t="inlineStr">
        <is>
          <t>xFusion #2</t>
        </is>
      </c>
      <c r="B19" s="3" t="inlineStr">
        <is>
          <t>Huang, Qian</t>
        </is>
      </c>
      <c r="C19" s="4" t="inlineStr">
        <is>
          <t>02YACYLHS3000001</t>
        </is>
      </c>
      <c r="D19" s="4" t="inlineStr">
        <is>
          <t>ES1/Q9WK</t>
        </is>
      </c>
      <c r="E19" s="6" t="inlineStr">
        <is>
          <t>SAMSUNG 32G 2RX8 6400  1DPC</t>
        </is>
      </c>
      <c r="F19" s="5" t="inlineStr">
        <is>
          <t>pxp4.port0_x8</t>
        </is>
      </c>
      <c r="G19" s="51" t="n">
        <v>0.875</v>
      </c>
      <c r="H19" s="51" t="n">
        <v>1</v>
      </c>
      <c r="I19" s="51" t="n">
        <v>1</v>
      </c>
      <c r="J19" s="51" t="n">
        <v>1</v>
      </c>
      <c r="K19" s="26" t="inlineStr">
        <is>
          <t>link_disable: Dev 0.pxp4.port0 is in DL_Down after test!</t>
        </is>
      </c>
    </row>
    <row r="20">
      <c r="A20" s="3" t="inlineStr">
        <is>
          <t>xFusion #2</t>
        </is>
      </c>
      <c r="B20" s="3" t="inlineStr">
        <is>
          <t>Huang, Qian</t>
        </is>
      </c>
      <c r="C20" s="4" t="inlineStr">
        <is>
          <t>02YACYLHS3000001</t>
        </is>
      </c>
      <c r="D20" s="4" t="inlineStr">
        <is>
          <t>ES1/Q9WK</t>
        </is>
      </c>
      <c r="E20" s="6" t="inlineStr">
        <is>
          <t>SAMSUNG 32G 2RX8 6400  1DPC</t>
        </is>
      </c>
      <c r="F20" s="5" t="inlineStr">
        <is>
          <t>pxp4.port4_x8</t>
        </is>
      </c>
      <c r="G20" s="51" t="n">
        <v>0.875</v>
      </c>
      <c r="H20" s="51" t="n">
        <v>1</v>
      </c>
      <c r="I20" s="51" t="n">
        <v>1</v>
      </c>
      <c r="J20" s="51" t="n">
        <v>1</v>
      </c>
      <c r="K20" s="26" t="inlineStr">
        <is>
          <t>link_disable: Dev 0.pxp4.port4 is in DL_Down after test!</t>
        </is>
      </c>
    </row>
    <row r="21">
      <c r="A21" s="3" t="inlineStr">
        <is>
          <t>xFusion #2</t>
        </is>
      </c>
      <c r="B21" s="3" t="inlineStr">
        <is>
          <t>Huang, Qian</t>
        </is>
      </c>
      <c r="C21" s="4" t="inlineStr">
        <is>
          <t>02YACYLHS3000001</t>
        </is>
      </c>
      <c r="D21" s="4" t="inlineStr">
        <is>
          <t>ES1/Q9WK</t>
        </is>
      </c>
      <c r="E21" s="6" t="inlineStr">
        <is>
          <t>SAMSUNG 32G 2RX8 6400  1DPC</t>
        </is>
      </c>
      <c r="F21" s="5" t="inlineStr">
        <is>
          <t>pxp9.port0_x16</t>
        </is>
      </c>
      <c r="G21" s="51" t="n">
        <v>1</v>
      </c>
      <c r="H21" s="51" t="n">
        <v>1</v>
      </c>
      <c r="I21" s="51" t="n">
        <v>1</v>
      </c>
      <c r="J21" s="51" t="n">
        <v>1</v>
      </c>
      <c r="K21" s="26" t="n"/>
    </row>
    <row r="22">
      <c r="A22" s="3" t="inlineStr">
        <is>
          <t>xFusion #2</t>
        </is>
      </c>
      <c r="B22" s="3" t="inlineStr">
        <is>
          <t>Huang, Qian</t>
        </is>
      </c>
      <c r="C22" s="4" t="inlineStr">
        <is>
          <t>02YACYLHS3000001</t>
        </is>
      </c>
      <c r="D22" s="4" t="inlineStr">
        <is>
          <t>ES1/Q9WK</t>
        </is>
      </c>
      <c r="E22" s="6" t="inlineStr">
        <is>
          <t>SAMSUNG 32G 2RX8 6400  1DPC</t>
        </is>
      </c>
      <c r="F22" s="5" t="inlineStr">
        <is>
          <t>pxp11.port0_x16</t>
        </is>
      </c>
      <c r="G22" s="51" t="n">
        <v>1</v>
      </c>
      <c r="H22" s="51" t="n">
        <v>1</v>
      </c>
      <c r="I22" s="51" t="n">
        <v>1</v>
      </c>
      <c r="J22" s="51" t="n">
        <v>1</v>
      </c>
      <c r="K22" s="26" t="n"/>
    </row>
    <row r="23">
      <c r="A23" s="3" t="inlineStr">
        <is>
          <t>xFusion #2</t>
        </is>
      </c>
      <c r="B23" s="3" t="inlineStr">
        <is>
          <t>Huang, Qian</t>
        </is>
      </c>
      <c r="C23" s="4" t="inlineStr">
        <is>
          <t>02YACYLHS3000001</t>
        </is>
      </c>
      <c r="D23" s="4" t="inlineStr">
        <is>
          <t>ES1/Q9WK</t>
        </is>
      </c>
      <c r="E23" s="6" t="inlineStr">
        <is>
          <t>SAMSUNG 32G 2RX8 6400  1DPC</t>
        </is>
      </c>
      <c r="F23" s="5" t="inlineStr">
        <is>
          <t>pxp12.port0_x16</t>
        </is>
      </c>
      <c r="G23" s="51" t="n">
        <v>1</v>
      </c>
      <c r="H23" s="51" t="n">
        <v>1</v>
      </c>
      <c r="I23" s="51" t="n">
        <v>1</v>
      </c>
      <c r="J23" s="51" t="n">
        <v>1</v>
      </c>
      <c r="K23" s="26" t="n"/>
      <c r="L23" t="inlineStr">
        <is>
          <t xml:space="preserve"> </t>
        </is>
      </c>
    </row>
    <row r="25">
      <c r="A25" s="34" t="inlineStr">
        <is>
          <t>Machine</t>
        </is>
      </c>
      <c r="B25" s="34" t="inlineStr">
        <is>
          <t>Test Owner</t>
        </is>
      </c>
      <c r="C25" s="34" t="inlineStr">
        <is>
          <t>Project Name</t>
        </is>
      </c>
      <c r="D25" s="34" t="inlineStr">
        <is>
          <t>CPU/QDF</t>
        </is>
      </c>
      <c r="E25" s="2" t="inlineStr">
        <is>
          <t>DIMM Group</t>
        </is>
      </c>
      <c r="F25" s="34" t="inlineStr">
        <is>
          <t>PCIE Port</t>
        </is>
      </c>
      <c r="G25" s="33" t="inlineStr">
        <is>
          <t>Test Case Number</t>
        </is>
      </c>
      <c r="H25" s="33" t="inlineStr">
        <is>
          <t>Pass</t>
        </is>
      </c>
      <c r="I25" s="33" t="inlineStr">
        <is>
          <t>Fail</t>
        </is>
      </c>
      <c r="J25" s="33" t="inlineStr">
        <is>
          <t>Block</t>
        </is>
      </c>
      <c r="K25" s="36" t="inlineStr">
        <is>
          <t>Execution Rate</t>
        </is>
      </c>
      <c r="L25" s="36" t="inlineStr">
        <is>
          <t>Pass Rate</t>
        </is>
      </c>
    </row>
    <row r="26">
      <c r="A26" s="3" t="inlineStr">
        <is>
          <t>xFusion #2</t>
        </is>
      </c>
      <c r="B26" s="3" t="inlineStr">
        <is>
          <t>Huang, Qian</t>
        </is>
      </c>
      <c r="C26" s="4" t="inlineStr">
        <is>
          <t>02YACYLHS3000001</t>
        </is>
      </c>
      <c r="D26" s="4" t="inlineStr">
        <is>
          <t>ES1/Q9WK</t>
        </is>
      </c>
      <c r="E26" s="6" t="inlineStr">
        <is>
          <t>SAMSUNG 32G 2RX8 6400  1DPC</t>
        </is>
      </c>
      <c r="F26" s="5" t="inlineStr">
        <is>
          <t>pxp1.port0_x8</t>
        </is>
      </c>
      <c r="G26" s="35" t="n">
        <v>18</v>
      </c>
      <c r="H26" s="35" t="n">
        <v>17</v>
      </c>
      <c r="I26" s="35" t="n">
        <v>1</v>
      </c>
      <c r="J26" s="35">
        <f>G26-H26-I26</f>
        <v/>
      </c>
      <c r="K26" s="29" t="n">
        <v>1</v>
      </c>
      <c r="L26" s="29">
        <f>H26/G26</f>
        <v/>
      </c>
    </row>
    <row r="27">
      <c r="A27" s="3" t="inlineStr">
        <is>
          <t>xFusion #2</t>
        </is>
      </c>
      <c r="B27" s="3" t="inlineStr">
        <is>
          <t>Huang, Qian</t>
        </is>
      </c>
      <c r="C27" s="4" t="inlineStr">
        <is>
          <t>02YACYLHS3000001</t>
        </is>
      </c>
      <c r="D27" s="4" t="inlineStr">
        <is>
          <t>ES1/Q9WK</t>
        </is>
      </c>
      <c r="E27" s="6" t="inlineStr">
        <is>
          <t>SAMSUNG 32G 2RX8 6400  1DPC</t>
        </is>
      </c>
      <c r="F27" s="5" t="inlineStr">
        <is>
          <t>pxp1.port4_x8</t>
        </is>
      </c>
      <c r="G27" s="35" t="n">
        <v>18</v>
      </c>
      <c r="H27" s="35" t="n">
        <v>17</v>
      </c>
      <c r="I27" s="35" t="n">
        <v>1</v>
      </c>
      <c r="J27" s="35">
        <f>G27-H27-I27</f>
        <v/>
      </c>
      <c r="K27" s="29" t="n">
        <v>1</v>
      </c>
      <c r="L27" s="29">
        <f>H27/G27</f>
        <v/>
      </c>
    </row>
    <row r="28">
      <c r="A28" s="3" t="inlineStr">
        <is>
          <t>xFusion #2</t>
        </is>
      </c>
      <c r="B28" s="3" t="inlineStr">
        <is>
          <t>Huang, Qian</t>
        </is>
      </c>
      <c r="C28" s="4" t="inlineStr">
        <is>
          <t>02YACYLHS3000001</t>
        </is>
      </c>
      <c r="D28" s="4" t="inlineStr">
        <is>
          <t>ES1/Q9WK</t>
        </is>
      </c>
      <c r="E28" s="6" t="inlineStr">
        <is>
          <t>SAMSUNG 32G 2RX8 6400  1DPC</t>
        </is>
      </c>
      <c r="F28" s="5" t="inlineStr">
        <is>
          <t>pxp3.port0_x16</t>
        </is>
      </c>
      <c r="G28" s="35" t="n">
        <v>18</v>
      </c>
      <c r="H28" s="35" t="n">
        <v>18</v>
      </c>
      <c r="I28" s="35" t="n">
        <v>0</v>
      </c>
      <c r="J28" s="35">
        <f>G28-H28-I28</f>
        <v/>
      </c>
      <c r="K28" s="29" t="n">
        <v>1</v>
      </c>
      <c r="L28" s="29">
        <f>H28/G28</f>
        <v/>
      </c>
    </row>
    <row r="29">
      <c r="A29" s="3" t="inlineStr">
        <is>
          <t>xFusion #2</t>
        </is>
      </c>
      <c r="B29" s="3" t="inlineStr">
        <is>
          <t>Huang, Qian</t>
        </is>
      </c>
      <c r="C29" s="4" t="inlineStr">
        <is>
          <t>02YACYLHS3000001</t>
        </is>
      </c>
      <c r="D29" s="4" t="inlineStr">
        <is>
          <t>ES1/Q9WK</t>
        </is>
      </c>
      <c r="E29" s="6" t="inlineStr">
        <is>
          <t>SAMSUNG 32G 2RX8 6400  1DPC</t>
        </is>
      </c>
      <c r="F29" s="5" t="inlineStr">
        <is>
          <t>pxp4.port0_x8</t>
        </is>
      </c>
      <c r="G29" s="35" t="n">
        <v>18</v>
      </c>
      <c r="H29" s="35" t="n">
        <v>17</v>
      </c>
      <c r="I29" s="35" t="n">
        <v>1</v>
      </c>
      <c r="J29" s="35">
        <f>G29-H29-I29</f>
        <v/>
      </c>
      <c r="K29" s="29" t="n">
        <v>1</v>
      </c>
      <c r="L29" s="29">
        <f>H29/G29</f>
        <v/>
      </c>
    </row>
    <row r="30">
      <c r="A30" s="3" t="inlineStr">
        <is>
          <t>xFusion #2</t>
        </is>
      </c>
      <c r="B30" s="3" t="inlineStr">
        <is>
          <t>Huang, Qian</t>
        </is>
      </c>
      <c r="C30" s="4" t="inlineStr">
        <is>
          <t>02YACYLHS3000001</t>
        </is>
      </c>
      <c r="D30" s="4" t="inlineStr">
        <is>
          <t>ES1/Q9WK</t>
        </is>
      </c>
      <c r="E30" s="6" t="inlineStr">
        <is>
          <t>SAMSUNG 32G 2RX8 6400  1DPC</t>
        </is>
      </c>
      <c r="F30" s="5" t="inlineStr">
        <is>
          <t>pxp4.port4_x8</t>
        </is>
      </c>
      <c r="G30" s="35" t="n">
        <v>18</v>
      </c>
      <c r="H30" s="35" t="n">
        <v>17</v>
      </c>
      <c r="I30" s="35" t="n">
        <v>1</v>
      </c>
      <c r="J30" s="35">
        <f>G30-H30-I30</f>
        <v/>
      </c>
      <c r="K30" s="29" t="n">
        <v>1</v>
      </c>
      <c r="L30" s="29">
        <f>H30/G30</f>
        <v/>
      </c>
    </row>
    <row r="31">
      <c r="A31" s="3" t="inlineStr">
        <is>
          <t>xFusion #2</t>
        </is>
      </c>
      <c r="B31" s="3" t="inlineStr">
        <is>
          <t>Huang, Qian</t>
        </is>
      </c>
      <c r="C31" s="4" t="inlineStr">
        <is>
          <t>02YACYLHS3000001</t>
        </is>
      </c>
      <c r="D31" s="4" t="inlineStr">
        <is>
          <t>ES1/Q9WK</t>
        </is>
      </c>
      <c r="E31" s="6" t="inlineStr">
        <is>
          <t>SAMSUNG 32G 2RX8 6400  1DPC</t>
        </is>
      </c>
      <c r="F31" s="5" t="inlineStr">
        <is>
          <t>pxp9.port0_x16</t>
        </is>
      </c>
      <c r="G31" s="35" t="n">
        <v>18</v>
      </c>
      <c r="H31" s="35" t="n">
        <v>18</v>
      </c>
      <c r="I31" s="35" t="n">
        <v>0</v>
      </c>
      <c r="J31" s="35">
        <f>G31-H31-I31</f>
        <v/>
      </c>
      <c r="K31" s="29" t="n">
        <v>1</v>
      </c>
      <c r="L31" s="29">
        <f>H31/G31</f>
        <v/>
      </c>
    </row>
    <row r="32">
      <c r="A32" s="3" t="inlineStr">
        <is>
          <t>xFusion #2</t>
        </is>
      </c>
      <c r="B32" s="3" t="inlineStr">
        <is>
          <t>Huang, Qian</t>
        </is>
      </c>
      <c r="C32" s="4" t="inlineStr">
        <is>
          <t>02YACYLHS3000001</t>
        </is>
      </c>
      <c r="D32" s="4" t="inlineStr">
        <is>
          <t>ES1/Q9WK</t>
        </is>
      </c>
      <c r="E32" s="6" t="inlineStr">
        <is>
          <t>SAMSUNG 32G 2RX8 6400  1DPC</t>
        </is>
      </c>
      <c r="F32" s="5" t="inlineStr">
        <is>
          <t>pxp11.port0_x16</t>
        </is>
      </c>
      <c r="G32" s="35" t="n">
        <v>18</v>
      </c>
      <c r="H32" s="35" t="n">
        <v>18</v>
      </c>
      <c r="I32" s="35" t="n">
        <v>0</v>
      </c>
      <c r="J32" s="35">
        <f>G32-H32-I32</f>
        <v/>
      </c>
      <c r="K32" s="29" t="n">
        <v>1</v>
      </c>
      <c r="L32" s="29">
        <f>H32/G32</f>
        <v/>
      </c>
    </row>
    <row r="33">
      <c r="A33" s="3" t="inlineStr">
        <is>
          <t>xFusion #2</t>
        </is>
      </c>
      <c r="B33" s="3" t="inlineStr">
        <is>
          <t>Huang, Qian</t>
        </is>
      </c>
      <c r="C33" s="4" t="inlineStr">
        <is>
          <t>02YACYLHS3000001</t>
        </is>
      </c>
      <c r="D33" s="4" t="inlineStr">
        <is>
          <t>ES1/Q9WK</t>
        </is>
      </c>
      <c r="E33" s="6" t="inlineStr">
        <is>
          <t>SAMSUNG 32G 2RX8 6400  1DPC</t>
        </is>
      </c>
      <c r="F33" s="5" t="inlineStr">
        <is>
          <t>pxp12.port0_x16</t>
        </is>
      </c>
      <c r="G33" s="35" t="n">
        <v>18</v>
      </c>
      <c r="H33" s="35" t="n">
        <v>18</v>
      </c>
      <c r="I33" s="35" t="n">
        <v>0</v>
      </c>
      <c r="J33" s="35">
        <f>G33-H33-I33</f>
        <v/>
      </c>
      <c r="K33" s="29" t="n">
        <v>1</v>
      </c>
      <c r="L33" s="29">
        <f>H33/G33</f>
        <v/>
      </c>
    </row>
    <row r="34">
      <c r="A34" s="100" t="inlineStr">
        <is>
          <t>Overal Summary</t>
        </is>
      </c>
      <c r="B34" s="101" t="n"/>
      <c r="C34" s="101" t="n"/>
      <c r="D34" s="101" t="n"/>
      <c r="E34" s="101" t="n"/>
      <c r="F34" s="102" t="n"/>
      <c r="G34" s="100">
        <f>SUM(G26:G33)</f>
        <v/>
      </c>
      <c r="H34" s="100">
        <f>SUM(H26:H33)</f>
        <v/>
      </c>
      <c r="I34" s="100">
        <f>SUM(I26:I33)</f>
        <v/>
      </c>
      <c r="J34" s="100">
        <f>SUM(J26:J33)</f>
        <v/>
      </c>
      <c r="K34" s="38" t="n">
        <v>1</v>
      </c>
      <c r="L34" s="38" t="n">
        <v>0.5</v>
      </c>
    </row>
  </sheetData>
  <mergeCells count="21">
    <mergeCell ref="E13:E14"/>
    <mergeCell ref="C1:C2"/>
    <mergeCell ref="E1:E2"/>
    <mergeCell ref="K1:K2"/>
    <mergeCell ref="B13:B14"/>
    <mergeCell ref="D13:D14"/>
    <mergeCell ref="B1:B2"/>
    <mergeCell ref="G13:H13"/>
    <mergeCell ref="F13:F14"/>
    <mergeCell ref="A13:A14"/>
    <mergeCell ref="K13:K14"/>
    <mergeCell ref="A34:F34"/>
    <mergeCell ref="I1:J1"/>
    <mergeCell ref="C13:C14"/>
    <mergeCell ref="G3:J3"/>
    <mergeCell ref="G1:H1"/>
    <mergeCell ref="D1:D2"/>
    <mergeCell ref="I13:J13"/>
    <mergeCell ref="G15:J15"/>
    <mergeCell ref="F1:F2"/>
    <mergeCell ref="A1:A2"/>
  </mergeCells>
  <conditionalFormatting sqref="G4:J11">
    <cfRule type="cellIs" priority="11" operator="lessThan" dxfId="274">
      <formula>0.79</formula>
    </cfRule>
    <cfRule type="cellIs" priority="12" operator="between" dxfId="271">
      <formula>0.99</formula>
      <formula>0.8</formula>
    </cfRule>
    <cfRule type="cellIs" priority="13" operator="equal" dxfId="272">
      <formula>1</formula>
    </cfRule>
  </conditionalFormatting>
  <conditionalFormatting sqref="G16:J23">
    <cfRule type="cellIs" priority="8" operator="lessThan" dxfId="274">
      <formula>0.79</formula>
    </cfRule>
    <cfRule type="cellIs" priority="9" operator="between" dxfId="271">
      <formula>0.99</formula>
      <formula>0.8</formula>
    </cfRule>
    <cfRule type="cellIs" priority="10" operator="equal" dxfId="272">
      <formula>1</formula>
    </cfRule>
  </conditionalFormatting>
  <conditionalFormatting sqref="K26:L33">
    <cfRule type="cellIs" priority="4" operator="lessThan" dxfId="271">
      <formula>1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theme="8" tint="0.7999816888943144"/>
    <outlinePr summaryBelow="0"/>
    <pageSetUpPr/>
  </sheetPr>
  <dimension ref="A1:AC25"/>
  <sheetViews>
    <sheetView zoomScale="85" zoomScaleNormal="85" workbookViewId="0">
      <pane xSplit="15" ySplit="1" topLeftCell="P2" activePane="bottomRight" state="frozen"/>
      <selection pane="topRight" activeCell="K1" sqref="K1"/>
      <selection pane="bottomLeft" activeCell="A2" sqref="A2"/>
      <selection pane="bottomRight" activeCell="T8" sqref="L8:T8"/>
    </sheetView>
  </sheetViews>
  <sheetFormatPr baseColWidth="8" defaultRowHeight="14.5"/>
  <cols>
    <col width="8.81640625" customWidth="1" min="1" max="1"/>
    <col width="8.81640625" customWidth="1" style="14" min="2" max="3"/>
    <col width="10.1796875" customWidth="1" style="14" min="4" max="4"/>
    <col width="12.81640625" customWidth="1" style="14" min="5" max="5"/>
    <col width="13.54296875" customWidth="1" style="14" min="6" max="6"/>
    <col width="15.54296875" customWidth="1" style="14" min="7" max="7"/>
    <col width="17.453125" customWidth="1" style="14" min="8" max="8"/>
    <col width="11.54296875" customWidth="1" style="14" min="9" max="9"/>
    <col width="20.7265625" customWidth="1" style="14" min="10" max="10"/>
    <col width="11.453125" customWidth="1" style="14" min="11" max="11"/>
    <col width="14.453125" bestFit="1" customWidth="1" style="14" min="12" max="12"/>
    <col width="14.453125" customWidth="1" style="14" min="13" max="13"/>
    <col width="14.81640625" customWidth="1" style="14" min="14" max="14"/>
    <col width="17.453125" customWidth="1" style="14" min="15" max="15"/>
    <col width="14.54296875" customWidth="1" style="14" min="16" max="16"/>
    <col width="13" customWidth="1" style="14" min="17" max="17"/>
    <col width="6.81640625" customWidth="1" style="14" min="18" max="18"/>
    <col width="9.54296875" customWidth="1" style="14" min="19" max="19"/>
    <col width="14.453125" customWidth="1" style="14" min="20" max="20"/>
    <col width="10.81640625" customWidth="1" style="14" min="21" max="21"/>
    <col width="9.54296875" customWidth="1" style="14" min="22" max="22"/>
    <col width="11.1796875" customWidth="1" style="14" min="23" max="23"/>
    <col width="28.1796875" customWidth="1" style="14" min="24" max="24"/>
    <col width="16.54296875" customWidth="1" style="14" min="25" max="26"/>
    <col width="14.81640625" customWidth="1" style="14" min="27" max="27"/>
    <col width="33.453125" customWidth="1" style="18" min="28" max="28"/>
    <col width="59.1796875" customWidth="1" style="14" min="29" max="29"/>
  </cols>
  <sheetData>
    <row r="1" ht="30" customFormat="1" customHeight="1" s="7">
      <c r="A1" s="27" t="inlineStr">
        <is>
          <t>原始序列</t>
        </is>
      </c>
      <c r="B1" s="27" t="inlineStr">
        <is>
          <t xml:space="preserve">ID </t>
        </is>
      </c>
      <c r="C1" s="27" t="inlineStr">
        <is>
          <t>父 ID</t>
        </is>
      </c>
      <c r="D1" s="27" t="inlineStr">
        <is>
          <t>Level</t>
        </is>
      </c>
      <c r="E1" s="20" t="inlineStr">
        <is>
          <t>Date</t>
        </is>
      </c>
      <c r="F1" s="21" t="inlineStr">
        <is>
          <t>Board</t>
        </is>
      </c>
      <c r="G1" s="21" t="inlineStr">
        <is>
          <t>Board Name</t>
        </is>
      </c>
      <c r="H1" s="21" t="inlineStr">
        <is>
          <t>PPIN</t>
        </is>
      </c>
      <c r="I1" s="21" t="inlineStr">
        <is>
          <t>QDF</t>
        </is>
      </c>
      <c r="J1" s="21" t="inlineStr">
        <is>
          <t>Memory P/N</t>
        </is>
      </c>
      <c r="K1" s="21" t="inlineStr">
        <is>
          <t>BIOS</t>
        </is>
      </c>
      <c r="L1" s="21" t="inlineStr">
        <is>
          <t>Port</t>
        </is>
      </c>
      <c r="M1" s="21" t="inlineStr">
        <is>
          <t>Gen#</t>
        </is>
      </c>
      <c r="N1" s="21" t="inlineStr">
        <is>
          <t>WO#</t>
        </is>
      </c>
      <c r="O1" s="21" t="inlineStr">
        <is>
          <t>Test</t>
        </is>
      </c>
      <c r="P1" s="22" t="inlineStr">
        <is>
          <t>Additional BIOS
Settings</t>
        </is>
      </c>
      <c r="Q1" s="21" t="inlineStr">
        <is>
          <t>iteration</t>
        </is>
      </c>
      <c r="R1" s="21" t="inlineStr">
        <is>
          <t>reset</t>
        </is>
      </c>
      <c r="S1" s="21" t="inlineStr">
        <is>
          <t>resetType</t>
        </is>
      </c>
      <c r="T1" s="22" t="inlineStr">
        <is>
          <t>Time</t>
        </is>
      </c>
      <c r="U1" s="21" t="inlineStr">
        <is>
          <t>Result</t>
        </is>
      </c>
      <c r="V1" s="22" t="inlineStr">
        <is>
          <t>Failed 
iterations</t>
        </is>
      </c>
      <c r="W1" s="21" t="inlineStr">
        <is>
          <t>Fail rate</t>
        </is>
      </c>
      <c r="X1" s="21" t="inlineStr">
        <is>
          <t>Symptoms</t>
        </is>
      </c>
      <c r="Y1" s="21" t="inlineStr">
        <is>
          <t>Status</t>
        </is>
      </c>
      <c r="Z1" s="21" t="inlineStr">
        <is>
          <t>Reason_other</t>
        </is>
      </c>
      <c r="AA1" s="21" t="inlineStr">
        <is>
          <t>HSD#</t>
        </is>
      </c>
      <c r="AB1" s="25" t="inlineStr">
        <is>
          <t>Log Link</t>
        </is>
      </c>
      <c r="AC1" s="21" t="inlineStr">
        <is>
          <t>Comments</t>
        </is>
      </c>
    </row>
    <row r="2" ht="15" customHeight="1">
      <c r="A2" s="28" t="n">
        <v>1</v>
      </c>
      <c r="B2" s="107" t="inlineStr">
        <is>
          <t>1L1</t>
        </is>
      </c>
      <c r="C2" s="107" t="n">
        <v>0</v>
      </c>
      <c r="D2" s="107">
        <f>IF(C2=0,1,2)</f>
        <v/>
      </c>
      <c r="E2" s="23" t="n">
        <v>46125</v>
      </c>
      <c r="F2" s="107" t="inlineStr">
        <is>
          <t>Intel JNC2</t>
        </is>
      </c>
      <c r="G2" s="107" t="inlineStr">
        <is>
          <t>VAO254600036</t>
        </is>
      </c>
      <c r="H2" s="107" t="inlineStr">
        <is>
          <t>5772954CF1246B4E</t>
        </is>
      </c>
      <c r="I2" s="107" t="inlineStr">
        <is>
          <t>ES1/Q9WJ</t>
        </is>
      </c>
      <c r="J2" s="39" t="inlineStr">
        <is>
          <t>M321R4GA3PB1-CCPPC
00CE012332050091C9</t>
        </is>
      </c>
      <c r="K2" s="107" t="inlineStr">
        <is>
          <t>32D91</t>
        </is>
      </c>
      <c r="L2" s="107" t="inlineStr">
        <is>
          <t>pxp1</t>
        </is>
      </c>
      <c r="M2" s="107" t="inlineStr">
        <is>
          <t>Gen6</t>
        </is>
      </c>
      <c r="N2" s="105" t="n"/>
      <c r="O2" s="107" t="inlineStr">
        <is>
          <t>LTSSM</t>
        </is>
      </c>
      <c r="P2" s="107" t="inlineStr">
        <is>
          <t>NA</t>
        </is>
      </c>
      <c r="Q2" s="107" t="n">
        <v>1000</v>
      </c>
      <c r="R2" s="107" t="inlineStr">
        <is>
          <t>NA</t>
        </is>
      </c>
      <c r="S2" s="107" t="inlineStr">
        <is>
          <t>NA</t>
        </is>
      </c>
      <c r="T2" s="42" t="n">
        <v>0.1808449074074074</v>
      </c>
      <c r="U2" s="13" t="inlineStr">
        <is>
          <t>Pass</t>
        </is>
      </c>
      <c r="V2" s="107" t="n"/>
      <c r="W2" s="29" t="n">
        <v>0</v>
      </c>
      <c r="X2" s="13" t="n"/>
      <c r="Y2" s="13" t="n"/>
      <c r="Z2" s="13" t="n"/>
      <c r="AA2" s="107" t="n"/>
      <c r="AB2" s="15" t="n"/>
      <c r="AC2" s="26" t="n"/>
    </row>
    <row r="3" ht="15" customHeight="1">
      <c r="A3" s="28" t="n">
        <v>2</v>
      </c>
      <c r="B3" s="107" t="inlineStr">
        <is>
          <t>1S1</t>
        </is>
      </c>
      <c r="C3" s="107" t="n">
        <v>0</v>
      </c>
      <c r="D3" s="107">
        <f>IF(C3=0,1,2)</f>
        <v/>
      </c>
      <c r="E3" s="23" t="n"/>
      <c r="F3" s="107" t="inlineStr">
        <is>
          <t>Intel JNC2</t>
        </is>
      </c>
      <c r="G3" s="107" t="inlineStr">
        <is>
          <t>VAO254600036</t>
        </is>
      </c>
      <c r="H3" s="107" t="inlineStr">
        <is>
          <t>5772954CF1246B4E</t>
        </is>
      </c>
      <c r="I3" s="107" t="inlineStr">
        <is>
          <t>ES1/Q9WJ</t>
        </is>
      </c>
      <c r="J3" s="39" t="inlineStr">
        <is>
          <t>M321R4GA3PB1-CCPPC
00CE012332050091C9</t>
        </is>
      </c>
      <c r="K3" s="107" t="inlineStr">
        <is>
          <t>32D91</t>
        </is>
      </c>
      <c r="L3" s="107" t="inlineStr">
        <is>
          <t>pxp1</t>
        </is>
      </c>
      <c r="M3" s="107" t="inlineStr">
        <is>
          <t>Gen6</t>
        </is>
      </c>
      <c r="N3" s="105" t="n"/>
      <c r="O3" s="107" t="inlineStr">
        <is>
          <t>SMV_Margin</t>
        </is>
      </c>
      <c r="P3" s="107" t="inlineStr">
        <is>
          <t>NA</t>
        </is>
      </c>
      <c r="Q3" s="107" t="n">
        <v>3</v>
      </c>
      <c r="R3" s="107" t="n">
        <v>3</v>
      </c>
      <c r="S3" s="107" t="n">
        <v>3</v>
      </c>
      <c r="T3" s="42" t="n">
        <v>0.04737268518518518</v>
      </c>
      <c r="U3" s="13" t="inlineStr">
        <is>
          <t>Pass</t>
        </is>
      </c>
      <c r="V3" s="107" t="n"/>
      <c r="W3" s="29" t="n"/>
      <c r="X3" s="13" t="n"/>
      <c r="Y3" s="13" t="n"/>
      <c r="Z3" s="13" t="n"/>
      <c r="AA3" s="107" t="n"/>
      <c r="AB3" s="15" t="n"/>
      <c r="AC3" s="26" t="n"/>
    </row>
    <row r="4" ht="15" customHeight="1">
      <c r="A4" s="28" t="n">
        <v>3</v>
      </c>
      <c r="B4" s="107" t="inlineStr">
        <is>
          <t>1L3</t>
        </is>
      </c>
      <c r="C4" s="107" t="n">
        <v>0</v>
      </c>
      <c r="D4" s="107">
        <f>IF(C4=0,1,2)</f>
        <v/>
      </c>
      <c r="E4" s="23" t="n">
        <v>46125</v>
      </c>
      <c r="F4" s="107" t="inlineStr">
        <is>
          <t>Intel JNC2</t>
        </is>
      </c>
      <c r="G4" s="107" t="inlineStr">
        <is>
          <t>VAO254600036</t>
        </is>
      </c>
      <c r="H4" s="107" t="inlineStr">
        <is>
          <t>5772954CF1246B4E</t>
        </is>
      </c>
      <c r="I4" s="107" t="inlineStr">
        <is>
          <t>ES1/Q9WJ</t>
        </is>
      </c>
      <c r="J4" s="39" t="inlineStr">
        <is>
          <t>M321R4GA3PB1-CCPPC
00CE012332050091C9</t>
        </is>
      </c>
      <c r="K4" s="107" t="inlineStr">
        <is>
          <t>32D91</t>
        </is>
      </c>
      <c r="L4" s="107" t="inlineStr">
        <is>
          <t>pxp3</t>
        </is>
      </c>
      <c r="M4" s="107" t="inlineStr">
        <is>
          <t>Gen6</t>
        </is>
      </c>
      <c r="N4" s="105" t="n"/>
      <c r="O4" s="107" t="inlineStr">
        <is>
          <t>LTSSM</t>
        </is>
      </c>
      <c r="P4" s="107" t="inlineStr">
        <is>
          <t>NA</t>
        </is>
      </c>
      <c r="Q4" s="107" t="n">
        <v>1000</v>
      </c>
      <c r="R4" s="107" t="inlineStr">
        <is>
          <t>NA</t>
        </is>
      </c>
      <c r="S4" s="107" t="inlineStr">
        <is>
          <t>NA</t>
        </is>
      </c>
      <c r="T4" s="42" t="n">
        <v>0.1814583333333333</v>
      </c>
      <c r="U4" s="13" t="inlineStr">
        <is>
          <t>Pass</t>
        </is>
      </c>
      <c r="V4" s="107" t="n"/>
      <c r="W4" s="29" t="n">
        <v>0</v>
      </c>
      <c r="X4" s="13" t="n"/>
      <c r="Y4" s="13" t="n"/>
      <c r="Z4" s="13" t="n"/>
      <c r="AA4" s="107" t="n"/>
      <c r="AB4" s="15" t="n"/>
      <c r="AC4" s="26" t="n"/>
    </row>
    <row r="5" ht="15" customHeight="1">
      <c r="A5" s="28" t="n">
        <v>4</v>
      </c>
      <c r="B5" s="107" t="inlineStr">
        <is>
          <t>1S3</t>
        </is>
      </c>
      <c r="C5" s="107" t="n">
        <v>0</v>
      </c>
      <c r="D5" s="107">
        <f>IF(C5=0,1,2)</f>
        <v/>
      </c>
      <c r="E5" s="23" t="n"/>
      <c r="F5" s="107" t="inlineStr">
        <is>
          <t>Intel JNC2</t>
        </is>
      </c>
      <c r="G5" s="107" t="inlineStr">
        <is>
          <t>VAO254600036</t>
        </is>
      </c>
      <c r="H5" s="107" t="inlineStr">
        <is>
          <t>5772954CF1246B4E</t>
        </is>
      </c>
      <c r="I5" s="107" t="inlineStr">
        <is>
          <t>ES1/Q9WJ</t>
        </is>
      </c>
      <c r="J5" s="39" t="inlineStr">
        <is>
          <t>M321R4GA3PB1-CCPPC
00CE012332050091C9</t>
        </is>
      </c>
      <c r="K5" s="107" t="inlineStr">
        <is>
          <t>32D91</t>
        </is>
      </c>
      <c r="L5" s="107" t="inlineStr">
        <is>
          <t>pxp3</t>
        </is>
      </c>
      <c r="M5" s="107" t="inlineStr">
        <is>
          <t>Gen6</t>
        </is>
      </c>
      <c r="N5" s="105" t="n"/>
      <c r="O5" s="107" t="inlineStr">
        <is>
          <t>SMV_Margin</t>
        </is>
      </c>
      <c r="P5" s="107" t="inlineStr">
        <is>
          <t>NA</t>
        </is>
      </c>
      <c r="Q5" s="107" t="n">
        <v>3</v>
      </c>
      <c r="R5" s="107" t="n">
        <v>3</v>
      </c>
      <c r="S5" s="107" t="n">
        <v>3</v>
      </c>
      <c r="T5" s="44" t="n">
        <v>0.04722222222222222</v>
      </c>
      <c r="U5" s="13" t="inlineStr">
        <is>
          <t>Pass</t>
        </is>
      </c>
      <c r="V5" s="107" t="n"/>
      <c r="W5" s="29" t="n"/>
      <c r="X5" s="13" t="n"/>
      <c r="Y5" s="13" t="n"/>
      <c r="Z5" s="13" t="n"/>
      <c r="AA5" s="107" t="n"/>
      <c r="AB5" s="15" t="n"/>
      <c r="AC5" s="26" t="n"/>
    </row>
    <row r="6" ht="15" customHeight="1">
      <c r="A6" s="28" t="n">
        <v>5</v>
      </c>
      <c r="B6" s="107" t="inlineStr">
        <is>
          <t>1L4</t>
        </is>
      </c>
      <c r="C6" s="107" t="n">
        <v>0</v>
      </c>
      <c r="D6" s="107">
        <f>IF(C6=0,1,2)</f>
        <v/>
      </c>
      <c r="E6" s="23" t="n"/>
      <c r="F6" s="107" t="inlineStr">
        <is>
          <t>Intel JNC2</t>
        </is>
      </c>
      <c r="G6" s="107" t="inlineStr">
        <is>
          <t>VAO254600036</t>
        </is>
      </c>
      <c r="H6" s="107" t="inlineStr">
        <is>
          <t>5772954CF1246B4E</t>
        </is>
      </c>
      <c r="I6" s="107" t="inlineStr">
        <is>
          <t>ES1/Q9WJ</t>
        </is>
      </c>
      <c r="J6" s="39" t="inlineStr">
        <is>
          <t>M321R4GA3PB1-CCPPC
00CE012332050091C9</t>
        </is>
      </c>
      <c r="K6" s="107" t="inlineStr">
        <is>
          <t>32D91</t>
        </is>
      </c>
      <c r="L6" s="107" t="inlineStr">
        <is>
          <t>pxp4</t>
        </is>
      </c>
      <c r="M6" s="107" t="inlineStr">
        <is>
          <t>Gen6</t>
        </is>
      </c>
      <c r="N6" s="105" t="n"/>
      <c r="O6" s="107" t="inlineStr">
        <is>
          <t>LTSSM</t>
        </is>
      </c>
      <c r="P6" s="107" t="inlineStr">
        <is>
          <t>NA</t>
        </is>
      </c>
      <c r="Q6" s="107" t="n">
        <v>1000</v>
      </c>
      <c r="R6" s="107" t="inlineStr">
        <is>
          <t>NA</t>
        </is>
      </c>
      <c r="S6" s="107" t="inlineStr">
        <is>
          <t>NA</t>
        </is>
      </c>
      <c r="T6" s="42" t="n">
        <v>0.1854513888888889</v>
      </c>
      <c r="U6" s="13" t="inlineStr">
        <is>
          <t>Pass</t>
        </is>
      </c>
      <c r="V6" s="107" t="n"/>
      <c r="W6" s="29" t="n">
        <v>0</v>
      </c>
      <c r="X6" s="13" t="n"/>
      <c r="Y6" s="13" t="n"/>
      <c r="Z6" s="13" t="n"/>
      <c r="AA6" s="107" t="n"/>
      <c r="AB6" s="15" t="n"/>
      <c r="AC6" s="26" t="n"/>
    </row>
    <row r="7" ht="15" customHeight="1">
      <c r="A7" s="28" t="n">
        <v>6</v>
      </c>
      <c r="B7" s="107" t="inlineStr">
        <is>
          <t>1S4</t>
        </is>
      </c>
      <c r="C7" s="107" t="n">
        <v>0</v>
      </c>
      <c r="D7" s="107">
        <f>IF(C7=0,1,2)</f>
        <v/>
      </c>
      <c r="E7" s="23" t="n"/>
      <c r="F7" s="107" t="inlineStr">
        <is>
          <t>Intel JNC2</t>
        </is>
      </c>
      <c r="G7" s="107" t="inlineStr">
        <is>
          <t>VAO254600036</t>
        </is>
      </c>
      <c r="H7" s="107" t="inlineStr">
        <is>
          <t>5772954CF1246B4E</t>
        </is>
      </c>
      <c r="I7" s="107" t="inlineStr">
        <is>
          <t>ES1/Q9WJ</t>
        </is>
      </c>
      <c r="J7" s="39" t="inlineStr">
        <is>
          <t>M321R4GA3PB1-CCPPC
00CE012332050091C9</t>
        </is>
      </c>
      <c r="K7" s="107" t="inlineStr">
        <is>
          <t>32D91</t>
        </is>
      </c>
      <c r="L7" s="107" t="inlineStr">
        <is>
          <t>pxp4</t>
        </is>
      </c>
      <c r="M7" s="107" t="inlineStr">
        <is>
          <t>Gen6</t>
        </is>
      </c>
      <c r="N7" s="105" t="n"/>
      <c r="O7" s="107" t="inlineStr">
        <is>
          <t>SMV_Margin</t>
        </is>
      </c>
      <c r="P7" s="107" t="inlineStr">
        <is>
          <t>NA</t>
        </is>
      </c>
      <c r="Q7" s="107" t="n">
        <v>3</v>
      </c>
      <c r="R7" s="107" t="n">
        <v>3</v>
      </c>
      <c r="S7" s="107" t="n">
        <v>3</v>
      </c>
      <c r="T7" s="44" t="n">
        <v>0.0472800925925926</v>
      </c>
      <c r="U7" s="13" t="inlineStr">
        <is>
          <t>Pass</t>
        </is>
      </c>
      <c r="V7" s="107" t="n"/>
      <c r="W7" s="29" t="n"/>
      <c r="X7" s="13" t="n"/>
      <c r="Y7" s="13" t="n"/>
      <c r="Z7" s="13" t="n"/>
      <c r="AA7" s="107" t="n"/>
      <c r="AB7" s="15" t="n"/>
      <c r="AC7" s="26" t="n"/>
    </row>
    <row r="8" ht="15" customHeight="1">
      <c r="A8" s="28" t="n">
        <v>7</v>
      </c>
      <c r="B8" s="107" t="inlineStr">
        <is>
          <t>1L9</t>
        </is>
      </c>
      <c r="C8" s="107" t="n">
        <v>0</v>
      </c>
      <c r="D8" s="107">
        <f>IF(C8=0,1,2)</f>
        <v/>
      </c>
      <c r="E8" s="23" t="n">
        <v>46125</v>
      </c>
      <c r="F8" s="107" t="inlineStr">
        <is>
          <t>Intel JNC2</t>
        </is>
      </c>
      <c r="G8" s="107" t="inlineStr">
        <is>
          <t>VAO254600036</t>
        </is>
      </c>
      <c r="H8" s="107" t="inlineStr">
        <is>
          <t>5772954CF1246B4E</t>
        </is>
      </c>
      <c r="I8" s="107" t="inlineStr">
        <is>
          <t>ES1/Q9WJ</t>
        </is>
      </c>
      <c r="J8" s="39" t="inlineStr">
        <is>
          <t>M321R4GA3PB1-CCPPC
00CE012332050091C9</t>
        </is>
      </c>
      <c r="K8" s="107" t="inlineStr">
        <is>
          <t>32D91</t>
        </is>
      </c>
      <c r="L8" s="107" t="inlineStr">
        <is>
          <t>pxp9</t>
        </is>
      </c>
      <c r="M8" s="107" t="inlineStr">
        <is>
          <t>Gen6</t>
        </is>
      </c>
      <c r="N8" s="105" t="n"/>
      <c r="O8" s="107" t="inlineStr">
        <is>
          <t>LTSSM</t>
        </is>
      </c>
      <c r="P8" s="107" t="inlineStr">
        <is>
          <t>NA</t>
        </is>
      </c>
      <c r="Q8" s="107" t="n">
        <v>1000</v>
      </c>
      <c r="R8" s="107" t="inlineStr">
        <is>
          <t>NA</t>
        </is>
      </c>
      <c r="S8" s="107" t="inlineStr">
        <is>
          <t>NA</t>
        </is>
      </c>
      <c r="T8" s="42" t="n">
        <v>0.2482291666666667</v>
      </c>
      <c r="U8" s="13" t="inlineStr">
        <is>
          <t>Pass</t>
        </is>
      </c>
      <c r="V8" s="107" t="n"/>
      <c r="W8" s="30" t="n">
        <v>0</v>
      </c>
      <c r="X8" s="13" t="n"/>
      <c r="Y8" s="13" t="n"/>
      <c r="Z8" s="13" t="n"/>
      <c r="AA8" s="105" t="n"/>
      <c r="AB8" s="15" t="n"/>
      <c r="AC8" s="26" t="n"/>
    </row>
    <row r="9" ht="15" customFormat="1" customHeight="1" s="14">
      <c r="A9" s="28" t="n">
        <v>8</v>
      </c>
      <c r="B9" s="107" t="inlineStr">
        <is>
          <t>1S9</t>
        </is>
      </c>
      <c r="C9" s="107" t="n">
        <v>0</v>
      </c>
      <c r="D9" s="107">
        <f>IF(C9=0,1,2)</f>
        <v/>
      </c>
      <c r="E9" s="23" t="n"/>
      <c r="F9" s="107" t="inlineStr">
        <is>
          <t>Intel JNC2</t>
        </is>
      </c>
      <c r="G9" s="107" t="inlineStr">
        <is>
          <t>VAO254600036</t>
        </is>
      </c>
      <c r="H9" s="107" t="inlineStr">
        <is>
          <t>5772954CF1246B4E</t>
        </is>
      </c>
      <c r="I9" s="107" t="inlineStr">
        <is>
          <t>ES1/Q9WJ</t>
        </is>
      </c>
      <c r="J9" s="39" t="inlineStr">
        <is>
          <t>M321R4GA3PB1-CCPPC
00CE012332050091C9</t>
        </is>
      </c>
      <c r="K9" s="107" t="inlineStr">
        <is>
          <t>32D91</t>
        </is>
      </c>
      <c r="L9" s="107" t="inlineStr">
        <is>
          <t>pxp9</t>
        </is>
      </c>
      <c r="M9" s="107" t="inlineStr">
        <is>
          <t>Gen6</t>
        </is>
      </c>
      <c r="N9" s="105" t="n"/>
      <c r="O9" s="107" t="inlineStr">
        <is>
          <t>SMV_Margin</t>
        </is>
      </c>
      <c r="P9" s="107" t="inlineStr">
        <is>
          <t>NA</t>
        </is>
      </c>
      <c r="Q9" s="107" t="n">
        <v>3</v>
      </c>
      <c r="R9" s="107" t="n">
        <v>3</v>
      </c>
      <c r="S9" s="107" t="n">
        <v>3</v>
      </c>
      <c r="T9" s="44" t="n">
        <v>0.04788194444444444</v>
      </c>
      <c r="U9" s="13" t="inlineStr">
        <is>
          <t>Pass</t>
        </is>
      </c>
      <c r="V9" s="107" t="n"/>
      <c r="W9" s="29" t="n"/>
      <c r="X9" s="13" t="n"/>
      <c r="Y9" s="13" t="n"/>
      <c r="Z9" s="13" t="n"/>
      <c r="AA9" s="107" t="n"/>
      <c r="AB9" s="15" t="n"/>
      <c r="AC9" s="26" t="n"/>
    </row>
    <row r="10" ht="15" customHeight="1">
      <c r="A10" s="28" t="n">
        <v>9</v>
      </c>
      <c r="B10" s="107" t="inlineStr">
        <is>
          <t>1L11</t>
        </is>
      </c>
      <c r="C10" s="107" t="n">
        <v>0</v>
      </c>
      <c r="D10" s="107">
        <f>IF(C10=0,1,2)</f>
        <v/>
      </c>
      <c r="E10" s="23" t="n"/>
      <c r="F10" s="107" t="inlineStr">
        <is>
          <t>Intel JNC2</t>
        </is>
      </c>
      <c r="G10" s="107" t="inlineStr">
        <is>
          <t>VAO254600036</t>
        </is>
      </c>
      <c r="H10" s="107" t="inlineStr">
        <is>
          <t>5772954CF1246B4E</t>
        </is>
      </c>
      <c r="I10" s="107" t="inlineStr">
        <is>
          <t>ES1/Q9WJ</t>
        </is>
      </c>
      <c r="J10" s="39" t="inlineStr">
        <is>
          <t>M321R4GA3PB1-CCPPC
00CE012332050091C9</t>
        </is>
      </c>
      <c r="K10" s="107" t="inlineStr">
        <is>
          <t>32D91</t>
        </is>
      </c>
      <c r="L10" s="107" t="inlineStr">
        <is>
          <t>pxp11</t>
        </is>
      </c>
      <c r="M10" s="107" t="inlineStr">
        <is>
          <t>Gen6</t>
        </is>
      </c>
      <c r="N10" s="105" t="n"/>
      <c r="O10" s="107" t="inlineStr">
        <is>
          <t>LTSSM</t>
        </is>
      </c>
      <c r="P10" s="107" t="inlineStr">
        <is>
          <t>NA</t>
        </is>
      </c>
      <c r="Q10" s="107" t="n">
        <v>1000</v>
      </c>
      <c r="R10" s="107" t="inlineStr">
        <is>
          <t>NA</t>
        </is>
      </c>
      <c r="S10" s="107" t="inlineStr">
        <is>
          <t>NA</t>
        </is>
      </c>
      <c r="T10" s="46" t="n">
        <v>0.2240162037037037</v>
      </c>
      <c r="U10" s="13" t="inlineStr">
        <is>
          <t>Fail</t>
        </is>
      </c>
      <c r="V10" s="107" t="n">
        <v>189</v>
      </c>
      <c r="W10" s="30" t="n">
        <v>0.189</v>
      </c>
      <c r="X10" s="13" t="inlineStr">
        <is>
          <t>runSpeedChangeAll:uncorrectable errors</t>
        </is>
      </c>
      <c r="Y10" s="13" t="n"/>
      <c r="Z10" s="13" t="n"/>
      <c r="AA10" s="105" t="n"/>
      <c r="AB10" s="15" t="n"/>
      <c r="AC10" s="26" t="n"/>
    </row>
    <row r="11" ht="15" customFormat="1" customHeight="1" s="14">
      <c r="A11" s="28" t="n">
        <v>10</v>
      </c>
      <c r="B11" s="107" t="inlineStr">
        <is>
          <t>1R11</t>
        </is>
      </c>
      <c r="C11" s="107" t="n">
        <v>0</v>
      </c>
      <c r="D11" s="107">
        <f>IF(C11=0,1,2)</f>
        <v/>
      </c>
      <c r="E11" s="23" t="n"/>
      <c r="F11" s="107" t="inlineStr">
        <is>
          <t>Intel JNC2</t>
        </is>
      </c>
      <c r="G11" s="107" t="inlineStr">
        <is>
          <t>VAO254600036</t>
        </is>
      </c>
      <c r="H11" s="107" t="inlineStr">
        <is>
          <t>5772954CF1246B4E</t>
        </is>
      </c>
      <c r="I11" s="107" t="inlineStr">
        <is>
          <t>ES1/Q9WJ</t>
        </is>
      </c>
      <c r="J11" s="39" t="inlineStr">
        <is>
          <t>M321R4GA3PB1-CCPPC
00CE012332050091C9</t>
        </is>
      </c>
      <c r="K11" s="107" t="inlineStr">
        <is>
          <t>32D91</t>
        </is>
      </c>
      <c r="L11" s="107" t="inlineStr">
        <is>
          <t>pxp11</t>
        </is>
      </c>
      <c r="M11" s="107" t="inlineStr">
        <is>
          <t>Gen6</t>
        </is>
      </c>
      <c r="N11" s="105" t="n"/>
      <c r="O11" s="107" t="inlineStr">
        <is>
          <t>SMV_Margin</t>
        </is>
      </c>
      <c r="P11" s="107" t="inlineStr">
        <is>
          <t>NA</t>
        </is>
      </c>
      <c r="Q11" s="107" t="n">
        <v>3</v>
      </c>
      <c r="R11" s="107" t="n">
        <v>3</v>
      </c>
      <c r="S11" s="107" t="n">
        <v>3</v>
      </c>
      <c r="T11" s="44" t="n">
        <v>0.04724537037037037</v>
      </c>
      <c r="U11" s="13" t="inlineStr">
        <is>
          <t>Pass</t>
        </is>
      </c>
      <c r="V11" s="107" t="n"/>
      <c r="W11" s="29" t="n"/>
      <c r="X11" s="13" t="n"/>
      <c r="Y11" s="13" t="n"/>
      <c r="Z11" s="13" t="n"/>
      <c r="AA11" s="107" t="n"/>
      <c r="AB11" s="15" t="n"/>
      <c r="AC11" s="26" t="inlineStr">
        <is>
          <t>runSpeedChangeAll:ocket 0, pxp11.port0 has detected uncorrectable errors</t>
        </is>
      </c>
    </row>
    <row r="12" ht="15" customHeight="1">
      <c r="A12" s="28" t="n">
        <v>11</v>
      </c>
      <c r="B12" s="107" t="inlineStr">
        <is>
          <t>1L12</t>
        </is>
      </c>
      <c r="C12" s="107" t="n">
        <v>0</v>
      </c>
      <c r="D12" s="107">
        <f>IF(C12=0,1,2)</f>
        <v/>
      </c>
      <c r="E12" s="23" t="n"/>
      <c r="F12" s="107" t="inlineStr">
        <is>
          <t>Intel JNC2</t>
        </is>
      </c>
      <c r="G12" s="107" t="inlineStr">
        <is>
          <t>VAO254600036</t>
        </is>
      </c>
      <c r="H12" s="107" t="inlineStr">
        <is>
          <t>5772954CF1246B4E</t>
        </is>
      </c>
      <c r="I12" s="107" t="inlineStr">
        <is>
          <t>ES1/Q9WJ</t>
        </is>
      </c>
      <c r="J12" s="39" t="inlineStr">
        <is>
          <t>M321R4GA3PB1-CCPPC
00CE012332050091C9</t>
        </is>
      </c>
      <c r="K12" s="107" t="inlineStr">
        <is>
          <t>32D91</t>
        </is>
      </c>
      <c r="L12" s="107" t="inlineStr">
        <is>
          <t>pxp12</t>
        </is>
      </c>
      <c r="M12" s="107" t="inlineStr">
        <is>
          <t>Gen6</t>
        </is>
      </c>
      <c r="N12" s="105" t="n"/>
      <c r="O12" s="107" t="inlineStr">
        <is>
          <t>LTSSM</t>
        </is>
      </c>
      <c r="P12" s="107" t="inlineStr">
        <is>
          <t>NA</t>
        </is>
      </c>
      <c r="Q12" s="107" t="n">
        <v>1000</v>
      </c>
      <c r="R12" s="107" t="inlineStr">
        <is>
          <t>NA</t>
        </is>
      </c>
      <c r="S12" s="107" t="inlineStr">
        <is>
          <t>NA</t>
        </is>
      </c>
      <c r="T12" s="107" t="n"/>
      <c r="U12" s="13" t="n"/>
      <c r="V12" s="107" t="n"/>
      <c r="W12" s="29" t="n"/>
      <c r="X12" s="13" t="n"/>
      <c r="Y12" s="13" t="n"/>
      <c r="Z12" s="13" t="n"/>
      <c r="AA12" s="107" t="n"/>
      <c r="AB12" s="15" t="n"/>
      <c r="AC12" s="26" t="n"/>
    </row>
    <row r="13" ht="15" customHeight="1">
      <c r="A13" s="28" t="n">
        <v>12</v>
      </c>
      <c r="B13" s="107" t="inlineStr">
        <is>
          <t>1R12</t>
        </is>
      </c>
      <c r="C13" s="107" t="n">
        <v>0</v>
      </c>
      <c r="D13" s="107">
        <f>IF(C13=0,1,2)</f>
        <v/>
      </c>
      <c r="E13" s="23" t="n"/>
      <c r="F13" s="107" t="inlineStr">
        <is>
          <t>Intel JNC2</t>
        </is>
      </c>
      <c r="G13" s="107" t="inlineStr">
        <is>
          <t>VAO254600036</t>
        </is>
      </c>
      <c r="H13" s="107" t="inlineStr">
        <is>
          <t>5772954CF1246B4E</t>
        </is>
      </c>
      <c r="I13" s="107" t="inlineStr">
        <is>
          <t>ES1/Q9WJ</t>
        </is>
      </c>
      <c r="J13" s="39" t="inlineStr">
        <is>
          <t>M321R4GA3PB1-CCPPC
00CE012332050091C9</t>
        </is>
      </c>
      <c r="K13" s="107" t="inlineStr">
        <is>
          <t>32D91</t>
        </is>
      </c>
      <c r="L13" s="107" t="inlineStr">
        <is>
          <t>pxp12</t>
        </is>
      </c>
      <c r="M13" s="107" t="inlineStr">
        <is>
          <t>Gen6</t>
        </is>
      </c>
      <c r="N13" s="105" t="n"/>
      <c r="O13" s="107" t="inlineStr">
        <is>
          <t>SMV_Margin</t>
        </is>
      </c>
      <c r="P13" s="107" t="inlineStr">
        <is>
          <t>NA</t>
        </is>
      </c>
      <c r="Q13" s="107" t="n">
        <v>3</v>
      </c>
      <c r="R13" s="107" t="n">
        <v>3</v>
      </c>
      <c r="S13" s="107" t="n">
        <v>3</v>
      </c>
      <c r="T13" s="107" t="n"/>
      <c r="U13" s="13" t="n"/>
      <c r="V13" s="107" t="n"/>
      <c r="W13" s="29" t="n"/>
      <c r="X13" s="13" t="n"/>
      <c r="Y13" s="13" t="n"/>
      <c r="Z13" s="13" t="n"/>
      <c r="AA13" s="107" t="n"/>
      <c r="AB13" s="15" t="n"/>
      <c r="AC13" s="26" t="n"/>
    </row>
    <row r="14" ht="15" customHeight="1">
      <c r="A14" s="28" t="n">
        <v>13</v>
      </c>
      <c r="B14" s="107" t="inlineStr">
        <is>
          <t>2L1</t>
        </is>
      </c>
      <c r="C14" s="107" t="n">
        <v>0</v>
      </c>
      <c r="D14" s="107">
        <f>IF(C14=0,1,2)</f>
        <v/>
      </c>
      <c r="E14" s="23" t="n"/>
      <c r="F14" s="107" t="inlineStr">
        <is>
          <t>Intel JNC2</t>
        </is>
      </c>
      <c r="G14" s="107" t="inlineStr">
        <is>
          <t>VAO254600036</t>
        </is>
      </c>
      <c r="H14" s="107" t="inlineStr">
        <is>
          <t>5772954CF1246B4E</t>
        </is>
      </c>
      <c r="I14" s="107" t="inlineStr">
        <is>
          <t>ES1/Q9WJ</t>
        </is>
      </c>
      <c r="J14" s="39" t="inlineStr">
        <is>
          <t>M321R4GA3PB1-CCPPC
00CE012332050091C9</t>
        </is>
      </c>
      <c r="K14" s="107" t="inlineStr">
        <is>
          <t>32D91</t>
        </is>
      </c>
      <c r="L14" s="107" t="inlineStr">
        <is>
          <t>pxp1</t>
        </is>
      </c>
      <c r="M14" s="107" t="inlineStr">
        <is>
          <t>Gen5</t>
        </is>
      </c>
      <c r="N14" s="105" t="n"/>
      <c r="O14" s="107" t="inlineStr">
        <is>
          <t>LTSSM</t>
        </is>
      </c>
      <c r="P14" s="107" t="inlineStr">
        <is>
          <t>NA</t>
        </is>
      </c>
      <c r="Q14" s="107" t="n">
        <v>1000</v>
      </c>
      <c r="R14" s="107" t="inlineStr">
        <is>
          <t>NA</t>
        </is>
      </c>
      <c r="S14" s="107" t="inlineStr">
        <is>
          <t>NA</t>
        </is>
      </c>
      <c r="T14" s="42" t="n">
        <v>0.1019444444444444</v>
      </c>
      <c r="U14" s="13" t="inlineStr">
        <is>
          <t>Fail</t>
        </is>
      </c>
      <c r="V14" s="107" t="n">
        <v>15</v>
      </c>
      <c r="W14" s="29" t="n">
        <v>0.0015</v>
      </c>
      <c r="X14" s="13" t="inlineStr">
        <is>
          <t>PML1:Correctable error</t>
        </is>
      </c>
      <c r="Y14" s="13" t="n"/>
      <c r="Z14" s="13" t="n"/>
      <c r="AA14" s="107" t="n"/>
      <c r="AB14" s="15" t="n"/>
      <c r="AC14" s="45" t="inlineStr">
        <is>
          <t>PML1:Checking port: 0.pxp1.port0 width: x0x10 speed: Gen5
Unexpected Recovery!(Socket 0 pxp1.port0) Expected 0 but saw 1 recoveries after test.
Socket 0, pxp1.port0 has detected correctable errors</t>
        </is>
      </c>
    </row>
    <row r="15" ht="15" customHeight="1">
      <c r="A15" s="28" t="n">
        <v>14</v>
      </c>
      <c r="B15" s="107" t="inlineStr">
        <is>
          <t>2S1</t>
        </is>
      </c>
      <c r="C15" s="107" t="n">
        <v>0</v>
      </c>
      <c r="D15" s="107">
        <f>IF(C15=0,1,2)</f>
        <v/>
      </c>
      <c r="E15" s="23" t="n"/>
      <c r="F15" s="107" t="inlineStr">
        <is>
          <t>Intel JNC2</t>
        </is>
      </c>
      <c r="G15" s="107" t="inlineStr">
        <is>
          <t>VAO254600036</t>
        </is>
      </c>
      <c r="H15" s="107" t="inlineStr">
        <is>
          <t>5772954CF1246B4E</t>
        </is>
      </c>
      <c r="I15" s="107" t="inlineStr">
        <is>
          <t>ES1/Q9WJ</t>
        </is>
      </c>
      <c r="J15" s="39" t="inlineStr">
        <is>
          <t>M321R4GA3PB1-CCPPC
00CE012332050091C9</t>
        </is>
      </c>
      <c r="K15" s="107" t="inlineStr">
        <is>
          <t>32D91</t>
        </is>
      </c>
      <c r="L15" s="107" t="inlineStr">
        <is>
          <t>pxp1</t>
        </is>
      </c>
      <c r="M15" s="107" t="inlineStr">
        <is>
          <t>Gen5</t>
        </is>
      </c>
      <c r="N15" s="105" t="n"/>
      <c r="O15" s="107" t="inlineStr">
        <is>
          <t>SMV_Margin</t>
        </is>
      </c>
      <c r="P15" s="107" t="inlineStr">
        <is>
          <t>NA</t>
        </is>
      </c>
      <c r="Q15" s="107" t="n">
        <v>3</v>
      </c>
      <c r="R15" s="107" t="n">
        <v>2</v>
      </c>
      <c r="S15" s="107" t="n">
        <v>3</v>
      </c>
      <c r="T15" s="107" t="n"/>
      <c r="U15" s="13" t="n"/>
      <c r="V15" s="107" t="n"/>
      <c r="W15" s="29" t="n"/>
      <c r="X15" s="13" t="n"/>
      <c r="Y15" s="13" t="n"/>
      <c r="Z15" s="13" t="n"/>
      <c r="AA15" s="107" t="n"/>
      <c r="AB15" s="15" t="n"/>
      <c r="AC15" s="45" t="n"/>
    </row>
    <row r="16" ht="15" customHeight="1">
      <c r="A16" s="28" t="n">
        <v>15</v>
      </c>
      <c r="B16" s="107" t="inlineStr">
        <is>
          <t>2L3</t>
        </is>
      </c>
      <c r="C16" s="107" t="n">
        <v>0</v>
      </c>
      <c r="D16" s="107">
        <f>IF(C16=0,1,2)</f>
        <v/>
      </c>
      <c r="E16" s="23" t="n"/>
      <c r="F16" s="107" t="inlineStr">
        <is>
          <t>Intel JNC2</t>
        </is>
      </c>
      <c r="G16" s="107" t="inlineStr">
        <is>
          <t>VAO254600036</t>
        </is>
      </c>
      <c r="H16" s="107" t="inlineStr">
        <is>
          <t>5772954CF1246B4E</t>
        </is>
      </c>
      <c r="I16" s="107" t="inlineStr">
        <is>
          <t>ES1/Q9WJ</t>
        </is>
      </c>
      <c r="J16" s="39" t="inlineStr">
        <is>
          <t>M321R4GA3PB1-CCPPC
00CE012332050091C9</t>
        </is>
      </c>
      <c r="K16" s="107" t="inlineStr">
        <is>
          <t>32D91</t>
        </is>
      </c>
      <c r="L16" s="107" t="inlineStr">
        <is>
          <t>pxp3</t>
        </is>
      </c>
      <c r="M16" s="107" t="inlineStr">
        <is>
          <t>Gen5</t>
        </is>
      </c>
      <c r="N16" s="105" t="n"/>
      <c r="O16" s="107" t="inlineStr">
        <is>
          <t>LTSSM</t>
        </is>
      </c>
      <c r="P16" s="107" t="inlineStr">
        <is>
          <t>NA</t>
        </is>
      </c>
      <c r="Q16" s="107" t="n">
        <v>1000</v>
      </c>
      <c r="R16" s="107" t="inlineStr">
        <is>
          <t>NA</t>
        </is>
      </c>
      <c r="S16" s="107" t="inlineStr">
        <is>
          <t>NA</t>
        </is>
      </c>
      <c r="T16" s="42" t="n">
        <v>0.1017939814814815</v>
      </c>
      <c r="U16" s="13" t="inlineStr">
        <is>
          <t>Pass</t>
        </is>
      </c>
      <c r="V16" s="107" t="n"/>
      <c r="W16" s="29" t="n">
        <v>0</v>
      </c>
      <c r="X16" s="13" t="n"/>
      <c r="Y16" s="13" t="n"/>
      <c r="Z16" s="13" t="n"/>
      <c r="AA16" s="107" t="n"/>
      <c r="AB16" s="15" t="n"/>
      <c r="AC16" s="26" t="n"/>
    </row>
    <row r="17" ht="15" customHeight="1">
      <c r="A17" s="28" t="n">
        <v>16</v>
      </c>
      <c r="B17" s="107" t="inlineStr">
        <is>
          <t>2S3</t>
        </is>
      </c>
      <c r="C17" s="107" t="n">
        <v>0</v>
      </c>
      <c r="D17" s="107">
        <f>IF(C17=0,1,2)</f>
        <v/>
      </c>
      <c r="E17" s="23" t="n"/>
      <c r="F17" s="107" t="inlineStr">
        <is>
          <t>Intel JNC2</t>
        </is>
      </c>
      <c r="G17" s="107" t="inlineStr">
        <is>
          <t>VAO254600036</t>
        </is>
      </c>
      <c r="H17" s="107" t="inlineStr">
        <is>
          <t>5772954CF1246B4E</t>
        </is>
      </c>
      <c r="I17" s="107" t="inlineStr">
        <is>
          <t>ES1/Q9WJ</t>
        </is>
      </c>
      <c r="J17" s="39" t="inlineStr">
        <is>
          <t>M321R4GA3PB1-CCPPC
00CE012332050091C9</t>
        </is>
      </c>
      <c r="K17" s="107" t="inlineStr">
        <is>
          <t>32D91</t>
        </is>
      </c>
      <c r="L17" s="107" t="inlineStr">
        <is>
          <t>pxp3</t>
        </is>
      </c>
      <c r="M17" s="107" t="inlineStr">
        <is>
          <t>Gen5</t>
        </is>
      </c>
      <c r="N17" s="105" t="n"/>
      <c r="O17" s="107" t="inlineStr">
        <is>
          <t>SMV_Margin</t>
        </is>
      </c>
      <c r="P17" s="107" t="inlineStr">
        <is>
          <t>NA</t>
        </is>
      </c>
      <c r="Q17" s="107" t="n">
        <v>3</v>
      </c>
      <c r="R17" s="107" t="n">
        <v>2</v>
      </c>
      <c r="S17" s="107" t="n">
        <v>3</v>
      </c>
      <c r="T17" s="107" t="n"/>
      <c r="U17" s="13" t="n"/>
      <c r="V17" s="107" t="n"/>
      <c r="W17" s="29" t="n"/>
      <c r="X17" s="13" t="n"/>
      <c r="Y17" s="13" t="n"/>
      <c r="Z17" s="13" t="n"/>
      <c r="AA17" s="107" t="n"/>
      <c r="AB17" s="15" t="n"/>
      <c r="AC17" s="45" t="n"/>
    </row>
    <row r="18" ht="15" customHeight="1">
      <c r="A18" s="28" t="n">
        <v>17</v>
      </c>
      <c r="B18" s="107" t="inlineStr">
        <is>
          <t>2L4</t>
        </is>
      </c>
      <c r="C18" s="107" t="n">
        <v>0</v>
      </c>
      <c r="D18" s="107">
        <f>IF(C18=0,1,2)</f>
        <v/>
      </c>
      <c r="E18" s="23" t="n"/>
      <c r="F18" s="107" t="inlineStr">
        <is>
          <t>Intel JNC2</t>
        </is>
      </c>
      <c r="G18" s="107" t="inlineStr">
        <is>
          <t>VAO254600036</t>
        </is>
      </c>
      <c r="H18" s="107" t="inlineStr">
        <is>
          <t>5772954CF1246B4E</t>
        </is>
      </c>
      <c r="I18" s="107" t="inlineStr">
        <is>
          <t>ES1/Q9WJ</t>
        </is>
      </c>
      <c r="J18" s="39" t="inlineStr">
        <is>
          <t>M321R4GA3PB1-CCPPC
00CE012332050091C9</t>
        </is>
      </c>
      <c r="K18" s="107" t="inlineStr">
        <is>
          <t>32D91</t>
        </is>
      </c>
      <c r="L18" s="107" t="inlineStr">
        <is>
          <t>pxp4</t>
        </is>
      </c>
      <c r="M18" s="107" t="inlineStr">
        <is>
          <t>Gen5</t>
        </is>
      </c>
      <c r="N18" s="105" t="n"/>
      <c r="O18" s="107" t="inlineStr">
        <is>
          <t>LTSSM</t>
        </is>
      </c>
      <c r="P18" s="107" t="inlineStr">
        <is>
          <t>NA</t>
        </is>
      </c>
      <c r="Q18" s="107" t="n">
        <v>1000</v>
      </c>
      <c r="R18" s="107" t="inlineStr">
        <is>
          <t>NA</t>
        </is>
      </c>
      <c r="S18" s="107" t="inlineStr">
        <is>
          <t>NA</t>
        </is>
      </c>
      <c r="T18" s="107" t="n"/>
      <c r="U18" s="13" t="n"/>
      <c r="V18" s="107" t="n"/>
      <c r="W18" s="29" t="n"/>
      <c r="X18" s="13" t="n"/>
      <c r="Y18" s="13" t="n"/>
      <c r="Z18" s="13" t="n"/>
      <c r="AA18" s="107" t="n"/>
      <c r="AB18" s="15" t="n"/>
      <c r="AC18" s="45" t="n"/>
    </row>
    <row r="19" ht="15" customFormat="1" customHeight="1" s="14">
      <c r="A19" s="107" t="n">
        <v>18</v>
      </c>
      <c r="B19" s="107" t="inlineStr">
        <is>
          <t>2S4</t>
        </is>
      </c>
      <c r="C19" s="107" t="n">
        <v>0</v>
      </c>
      <c r="D19" s="107">
        <f>IF(C19=0,1,2)</f>
        <v/>
      </c>
      <c r="E19" s="23" t="n"/>
      <c r="F19" s="107" t="inlineStr">
        <is>
          <t>Intel JNC2</t>
        </is>
      </c>
      <c r="G19" s="107" t="inlineStr">
        <is>
          <t>VAO254600036</t>
        </is>
      </c>
      <c r="H19" s="107" t="inlineStr">
        <is>
          <t>5772954CF1246B4E</t>
        </is>
      </c>
      <c r="I19" s="107" t="inlineStr">
        <is>
          <t>ES1/Q9WJ</t>
        </is>
      </c>
      <c r="J19" s="39" t="inlineStr">
        <is>
          <t>M321R4GA3PB1-CCPPC
00CE012332050091C9</t>
        </is>
      </c>
      <c r="K19" s="107" t="inlineStr">
        <is>
          <t>32D91</t>
        </is>
      </c>
      <c r="L19" s="107" t="inlineStr">
        <is>
          <t>pxp4</t>
        </is>
      </c>
      <c r="M19" s="107" t="inlineStr">
        <is>
          <t>Gen5</t>
        </is>
      </c>
      <c r="N19" s="105" t="n"/>
      <c r="O19" s="107" t="inlineStr">
        <is>
          <t>SMV_Margin</t>
        </is>
      </c>
      <c r="P19" s="107" t="inlineStr">
        <is>
          <t>NA</t>
        </is>
      </c>
      <c r="Q19" s="107" t="n">
        <v>3</v>
      </c>
      <c r="R19" s="107" t="n">
        <v>2</v>
      </c>
      <c r="S19" s="107" t="n">
        <v>3</v>
      </c>
      <c r="T19" s="42" t="n">
        <v>0.0665625</v>
      </c>
      <c r="U19" s="13" t="inlineStr">
        <is>
          <t>Pass</t>
        </is>
      </c>
      <c r="V19" s="107" t="n"/>
      <c r="W19" s="29" t="n"/>
      <c r="X19" s="107" t="n"/>
      <c r="Y19" s="13" t="n"/>
      <c r="Z19" s="13" t="n"/>
      <c r="AA19" s="107" t="n"/>
      <c r="AB19" s="15" t="n"/>
      <c r="AC19" s="45" t="n"/>
    </row>
    <row r="20" ht="15" customHeight="1">
      <c r="A20" s="28" t="n">
        <v>19</v>
      </c>
      <c r="B20" s="107" t="inlineStr">
        <is>
          <t>2L9</t>
        </is>
      </c>
      <c r="C20" s="107" t="n">
        <v>0</v>
      </c>
      <c r="D20" s="107">
        <f>IF(C20=0,1,2)</f>
        <v/>
      </c>
      <c r="E20" s="23" t="n"/>
      <c r="F20" s="107" t="inlineStr">
        <is>
          <t>Intel JNC2</t>
        </is>
      </c>
      <c r="G20" s="107" t="inlineStr">
        <is>
          <t>VAO254600036</t>
        </is>
      </c>
      <c r="H20" s="107" t="inlineStr">
        <is>
          <t>5772954CF1246B4E</t>
        </is>
      </c>
      <c r="I20" s="107" t="inlineStr">
        <is>
          <t>ES1/Q9WJ</t>
        </is>
      </c>
      <c r="J20" s="39" t="inlineStr">
        <is>
          <t>M321R4GA3PB1-CCPPC
00CE012332050091C9</t>
        </is>
      </c>
      <c r="K20" s="107" t="inlineStr">
        <is>
          <t>32D91</t>
        </is>
      </c>
      <c r="L20" s="107" t="inlineStr">
        <is>
          <t>pxp9</t>
        </is>
      </c>
      <c r="M20" s="107" t="inlineStr">
        <is>
          <t>Gen5</t>
        </is>
      </c>
      <c r="N20" s="105" t="n"/>
      <c r="O20" s="107" t="inlineStr">
        <is>
          <t>LTSSM</t>
        </is>
      </c>
      <c r="P20" s="107" t="inlineStr">
        <is>
          <t>NA</t>
        </is>
      </c>
      <c r="Q20" s="107" t="n">
        <v>1000</v>
      </c>
      <c r="R20" s="107" t="inlineStr">
        <is>
          <t>NA</t>
        </is>
      </c>
      <c r="S20" s="107" t="inlineStr">
        <is>
          <t>NA</t>
        </is>
      </c>
      <c r="T20" s="42" t="n">
        <v>0.1345023148148148</v>
      </c>
      <c r="U20" s="13" t="inlineStr">
        <is>
          <t>Pass</t>
        </is>
      </c>
      <c r="V20" s="107" t="n"/>
      <c r="W20" s="29" t="n">
        <v>0</v>
      </c>
      <c r="X20" s="13" t="n"/>
      <c r="Y20" s="13" t="n"/>
      <c r="Z20" s="13" t="n"/>
      <c r="AA20" s="107" t="n"/>
      <c r="AB20" s="15" t="n"/>
      <c r="AC20" s="26" t="n"/>
    </row>
    <row r="21" ht="15" customHeight="1">
      <c r="A21" s="28" t="n">
        <v>20</v>
      </c>
      <c r="B21" s="107" t="inlineStr">
        <is>
          <t>2S9</t>
        </is>
      </c>
      <c r="C21" s="107" t="n">
        <v>0</v>
      </c>
      <c r="D21" s="107">
        <f>IF(C21=0,1,2)</f>
        <v/>
      </c>
      <c r="E21" s="107" t="n"/>
      <c r="F21" s="107" t="inlineStr">
        <is>
          <t>Intel JNC2</t>
        </is>
      </c>
      <c r="G21" s="107" t="inlineStr">
        <is>
          <t>VAO254600036</t>
        </is>
      </c>
      <c r="H21" s="107" t="inlineStr">
        <is>
          <t>5772954CF1246B4E</t>
        </is>
      </c>
      <c r="I21" s="107" t="inlineStr">
        <is>
          <t>ES1/Q9WJ</t>
        </is>
      </c>
      <c r="J21" s="39" t="inlineStr">
        <is>
          <t>M321R4GA3PB1-CCPPC
00CE012332050091C9</t>
        </is>
      </c>
      <c r="K21" s="107" t="inlineStr">
        <is>
          <t>32D91</t>
        </is>
      </c>
      <c r="L21" s="107" t="inlineStr">
        <is>
          <t>pxp9</t>
        </is>
      </c>
      <c r="M21" s="107" t="inlineStr">
        <is>
          <t>Gen5</t>
        </is>
      </c>
      <c r="N21" s="107" t="n"/>
      <c r="O21" s="107" t="inlineStr">
        <is>
          <t>SMV_Margin</t>
        </is>
      </c>
      <c r="P21" s="107" t="inlineStr">
        <is>
          <t>NA</t>
        </is>
      </c>
      <c r="Q21" s="107" t="n">
        <v>3</v>
      </c>
      <c r="R21" s="107" t="n">
        <v>2</v>
      </c>
      <c r="S21" s="107" t="n">
        <v>3</v>
      </c>
      <c r="T21" s="107" t="n"/>
      <c r="U21" s="24" t="n"/>
      <c r="V21" s="107" t="n"/>
      <c r="W21" s="31" t="n"/>
      <c r="X21" s="107" t="n"/>
      <c r="Y21" s="13" t="n"/>
      <c r="Z21" s="13" t="n"/>
      <c r="AA21" s="107" t="n"/>
      <c r="AB21" s="26" t="n"/>
      <c r="AC21" s="26" t="n"/>
    </row>
    <row r="22" ht="15" customHeight="1">
      <c r="A22" s="28" t="n">
        <v>21</v>
      </c>
      <c r="B22" s="107" t="inlineStr">
        <is>
          <t>2L11</t>
        </is>
      </c>
      <c r="C22" s="107" t="n">
        <v>0</v>
      </c>
      <c r="D22" s="107">
        <f>IF(C22=0,1,2)</f>
        <v/>
      </c>
      <c r="E22" s="107" t="n"/>
      <c r="F22" s="107" t="inlineStr">
        <is>
          <t>Intel JNC2</t>
        </is>
      </c>
      <c r="G22" s="107" t="inlineStr">
        <is>
          <t>VAO254600036</t>
        </is>
      </c>
      <c r="H22" s="107" t="inlineStr">
        <is>
          <t>5772954CF1246B4E</t>
        </is>
      </c>
      <c r="I22" s="107" t="inlineStr">
        <is>
          <t>ES1/Q9WJ</t>
        </is>
      </c>
      <c r="J22" s="39" t="inlineStr">
        <is>
          <t>M321R4GA3PB1-CCPPC
00CE012332050091C9</t>
        </is>
      </c>
      <c r="K22" s="107" t="inlineStr">
        <is>
          <t>32D91</t>
        </is>
      </c>
      <c r="L22" s="107" t="inlineStr">
        <is>
          <t>pxp11</t>
        </is>
      </c>
      <c r="M22" s="107" t="inlineStr">
        <is>
          <t>Gen5</t>
        </is>
      </c>
      <c r="N22" s="107" t="n"/>
      <c r="O22" s="107" t="inlineStr">
        <is>
          <t>LTSSM</t>
        </is>
      </c>
      <c r="P22" s="107" t="inlineStr">
        <is>
          <t>NA</t>
        </is>
      </c>
      <c r="Q22" s="107" t="n">
        <v>1000</v>
      </c>
      <c r="R22" s="107" t="inlineStr">
        <is>
          <t>NA</t>
        </is>
      </c>
      <c r="S22" s="107" t="inlineStr">
        <is>
          <t>NA</t>
        </is>
      </c>
      <c r="T22" s="107" t="n"/>
      <c r="U22" s="24" t="n"/>
      <c r="V22" s="107" t="n"/>
      <c r="W22" s="31" t="n"/>
      <c r="X22" s="107" t="n"/>
      <c r="Y22" s="13" t="n"/>
      <c r="Z22" s="13" t="n"/>
      <c r="AA22" s="107" t="n"/>
      <c r="AB22" s="26" t="n"/>
      <c r="AC22" s="26" t="n"/>
    </row>
    <row r="23" ht="15" customFormat="1" customHeight="1" s="14">
      <c r="A23" s="107" t="n">
        <v>22</v>
      </c>
      <c r="B23" s="107" t="inlineStr">
        <is>
          <t>2R11</t>
        </is>
      </c>
      <c r="C23" s="107" t="n">
        <v>0</v>
      </c>
      <c r="D23" s="107">
        <f>IF(C23=0,1,2)</f>
        <v/>
      </c>
      <c r="E23" s="107" t="n"/>
      <c r="F23" s="107" t="inlineStr">
        <is>
          <t>Intel JNC2</t>
        </is>
      </c>
      <c r="G23" s="107" t="inlineStr">
        <is>
          <t>VAO254600036</t>
        </is>
      </c>
      <c r="H23" s="107" t="inlineStr">
        <is>
          <t>5772954CF1246B4E</t>
        </is>
      </c>
      <c r="I23" s="107" t="inlineStr">
        <is>
          <t>ES1/Q9WJ</t>
        </is>
      </c>
      <c r="J23" s="39" t="inlineStr">
        <is>
          <t>M321R4GA3PB1-CCPPC
00CE012332050091C9</t>
        </is>
      </c>
      <c r="K23" s="107" t="inlineStr">
        <is>
          <t>32D91</t>
        </is>
      </c>
      <c r="L23" s="107" t="inlineStr">
        <is>
          <t>pxp11</t>
        </is>
      </c>
      <c r="M23" s="107" t="inlineStr">
        <is>
          <t>Gen5</t>
        </is>
      </c>
      <c r="N23" s="107" t="n"/>
      <c r="O23" s="107" t="inlineStr">
        <is>
          <t>SMV_Margin</t>
        </is>
      </c>
      <c r="P23" s="107" t="inlineStr">
        <is>
          <t>NA</t>
        </is>
      </c>
      <c r="Q23" s="107" t="n">
        <v>3</v>
      </c>
      <c r="R23" s="107" t="n">
        <v>2</v>
      </c>
      <c r="S23" s="107" t="n">
        <v>3</v>
      </c>
      <c r="T23" s="42" t="n"/>
      <c r="U23" s="13" t="n"/>
      <c r="V23" s="107" t="n"/>
      <c r="W23" s="29" t="n"/>
      <c r="X23" s="107" t="n"/>
      <c r="Y23" s="13" t="n"/>
      <c r="Z23" s="13" t="n"/>
      <c r="AA23" s="107" t="n"/>
      <c r="AB23" s="107" t="n"/>
      <c r="AC23" s="107" t="n"/>
    </row>
    <row r="24" ht="15" customHeight="1">
      <c r="A24" s="28" t="n">
        <v>23</v>
      </c>
      <c r="B24" s="107" t="inlineStr">
        <is>
          <t>2L12</t>
        </is>
      </c>
      <c r="C24" s="107" t="n">
        <v>0</v>
      </c>
      <c r="D24" s="107">
        <f>IF(C24=0,1,2)</f>
        <v/>
      </c>
      <c r="E24" s="107" t="n"/>
      <c r="F24" s="107" t="inlineStr">
        <is>
          <t>Intel JNC2</t>
        </is>
      </c>
      <c r="G24" s="107" t="inlineStr">
        <is>
          <t>VAO254600036</t>
        </is>
      </c>
      <c r="H24" s="107" t="inlineStr">
        <is>
          <t>5772954CF1246B4E</t>
        </is>
      </c>
      <c r="I24" s="107" t="inlineStr">
        <is>
          <t>ES1/Q9WJ</t>
        </is>
      </c>
      <c r="J24" s="39" t="inlineStr">
        <is>
          <t>M321R4GA3PB1-CCPPC
00CE012332050091C9</t>
        </is>
      </c>
      <c r="K24" s="107" t="inlineStr">
        <is>
          <t>32D91</t>
        </is>
      </c>
      <c r="L24" s="107" t="inlineStr">
        <is>
          <t>pxp12</t>
        </is>
      </c>
      <c r="M24" s="107" t="inlineStr">
        <is>
          <t>Gen5</t>
        </is>
      </c>
      <c r="N24" s="107" t="n"/>
      <c r="O24" s="107" t="inlineStr">
        <is>
          <t>LTSSM</t>
        </is>
      </c>
      <c r="P24" s="107" t="inlineStr">
        <is>
          <t>NA</t>
        </is>
      </c>
      <c r="Q24" s="107" t="n">
        <v>1000</v>
      </c>
      <c r="R24" s="107" t="inlineStr">
        <is>
          <t>NA</t>
        </is>
      </c>
      <c r="S24" s="107" t="inlineStr">
        <is>
          <t>NA</t>
        </is>
      </c>
      <c r="T24" s="107" t="n"/>
      <c r="U24" s="24" t="n"/>
      <c r="V24" s="107" t="n"/>
      <c r="W24" s="31" t="n"/>
      <c r="X24" s="107" t="n"/>
      <c r="Y24" s="13" t="n"/>
      <c r="Z24" s="13" t="n"/>
      <c r="AA24" s="107" t="n"/>
      <c r="AB24" s="26" t="n"/>
      <c r="AC24" s="26" t="n"/>
    </row>
    <row r="25" ht="15" customHeight="1">
      <c r="A25" s="28" t="n">
        <v>24</v>
      </c>
      <c r="B25" s="107" t="inlineStr">
        <is>
          <t>2R12</t>
        </is>
      </c>
      <c r="C25" s="107" t="n">
        <v>0</v>
      </c>
      <c r="D25" s="107">
        <f>IF(C25=0,1,2)</f>
        <v/>
      </c>
      <c r="E25" s="107" t="n"/>
      <c r="F25" s="107" t="inlineStr">
        <is>
          <t>Intel JNC2</t>
        </is>
      </c>
      <c r="G25" s="107" t="inlineStr">
        <is>
          <t>VAO254600036</t>
        </is>
      </c>
      <c r="H25" s="107" t="inlineStr">
        <is>
          <t>5772954CF1246B4E</t>
        </is>
      </c>
      <c r="I25" s="107" t="inlineStr">
        <is>
          <t>ES1/Q9WJ</t>
        </is>
      </c>
      <c r="J25" s="39" t="inlineStr">
        <is>
          <t>M321R4GA3PB1-CCPPC
00CE012332050091C9</t>
        </is>
      </c>
      <c r="K25" s="107" t="inlineStr">
        <is>
          <t>32D91</t>
        </is>
      </c>
      <c r="L25" s="107" t="inlineStr">
        <is>
          <t>pxp12</t>
        </is>
      </c>
      <c r="M25" s="107" t="inlineStr">
        <is>
          <t>Gen5</t>
        </is>
      </c>
      <c r="N25" s="107" t="n"/>
      <c r="O25" s="107" t="inlineStr">
        <is>
          <t>SMV_Margin</t>
        </is>
      </c>
      <c r="P25" s="107" t="inlineStr">
        <is>
          <t>NA</t>
        </is>
      </c>
      <c r="Q25" s="107" t="n">
        <v>3</v>
      </c>
      <c r="R25" s="107" t="n">
        <v>2</v>
      </c>
      <c r="S25" s="107" t="n">
        <v>3</v>
      </c>
      <c r="T25" s="107" t="n"/>
      <c r="U25" s="24" t="n"/>
      <c r="V25" s="107" t="n"/>
      <c r="W25" s="31" t="n"/>
      <c r="X25" s="107" t="n"/>
      <c r="Y25" s="13" t="n"/>
      <c r="Z25" s="13" t="n"/>
      <c r="AA25" s="107" t="n"/>
      <c r="AB25" s="26" t="n"/>
      <c r="AC25" s="26" t="n"/>
    </row>
  </sheetData>
  <autoFilter ref="A1:AC25"/>
  <conditionalFormatting sqref="L2:L25">
    <cfRule type="containsText" priority="14" operator="containsText" dxfId="0" text="pxp">
      <formula>NOT(ISERROR(SEARCH("pxp",L2)))</formula>
    </cfRule>
  </conditionalFormatting>
  <conditionalFormatting sqref="M2:M25">
    <cfRule type="containsText" priority="12" operator="containsText" dxfId="251" text="Gen6">
      <formula>NOT(ISERROR(SEARCH("Gen6",M2)))</formula>
    </cfRule>
    <cfRule type="containsText" priority="13" operator="containsText" dxfId="5" text="Gen5">
      <formula>NOT(ISERROR(SEARCH("Gen5",M2)))</formula>
    </cfRule>
  </conditionalFormatting>
  <conditionalFormatting sqref="O2:O25">
    <cfRule type="containsText" priority="10" operator="containsText" dxfId="267" text="SMV_Margin">
      <formula>NOT(ISERROR(SEARCH("SMV_Margin",O2)))</formula>
    </cfRule>
    <cfRule type="containsText" priority="11" operator="containsText" dxfId="266" text="LTSSM">
      <formula>NOT(ISERROR(SEARCH("LTSSM",O2)))</formula>
    </cfRule>
  </conditionalFormatting>
  <conditionalFormatting sqref="P2:P25">
    <cfRule type="notContainsText" priority="18" operator="notContains" dxfId="265" text="NA">
      <formula>ISERROR(SEARCH("NA",P2))</formula>
    </cfRule>
  </conditionalFormatting>
  <conditionalFormatting sqref="Q2:Q25">
    <cfRule type="cellIs" priority="9" operator="equal" dxfId="0">
      <formula>1000</formula>
    </cfRule>
  </conditionalFormatting>
  <conditionalFormatting sqref="Q2:S25">
    <cfRule type="cellIs" priority="4" operator="equal" dxfId="5">
      <formula>3</formula>
    </cfRule>
  </conditionalFormatting>
  <conditionalFormatting sqref="R2:R25">
    <cfRule type="cellIs" priority="5" operator="equal" dxfId="5">
      <formula>2</formula>
    </cfRule>
    <cfRule type="containsText" priority="7" operator="containsText" dxfId="0" text="NA">
      <formula>NOT(ISERROR(SEARCH("NA",R2)))</formula>
    </cfRule>
  </conditionalFormatting>
  <conditionalFormatting sqref="S2:S25">
    <cfRule type="containsText" priority="3" operator="containsText" dxfId="0" text="NA">
      <formula>NOT(ISERROR(SEARCH("NA",S2)))</formula>
    </cfRule>
  </conditionalFormatting>
  <conditionalFormatting sqref="U2:U25">
    <cfRule type="containsText" priority="19" operator="containsText" dxfId="2" text="block">
      <formula>NOT(ISERROR(SEARCH("block",U2)))</formula>
    </cfRule>
    <cfRule type="containsText" priority="20" operator="containsText" dxfId="2" text="NA">
      <formula>NOT(ISERROR(SEARCH("NA",U2)))</formula>
    </cfRule>
    <cfRule type="containsText" priority="21" operator="containsText" dxfId="1" text="fail">
      <formula>NOT(ISERROR(SEARCH("fail",U2)))</formula>
    </cfRule>
    <cfRule type="containsText" priority="22" operator="containsText" dxfId="0" text="pass">
      <formula>NOT(ISERROR(SEARCH("pass",U2)))</formula>
    </cfRule>
  </conditionalFormatting>
  <conditionalFormatting sqref="V2:W25">
    <cfRule type="cellIs" priority="1" operator="greaterThan" dxfId="1">
      <formula>0</formula>
    </cfRule>
    <cfRule type="cellIs" priority="2" operator="equal" dxfId="0">
      <formula>0</formula>
    </cfRule>
  </conditionalFormatting>
  <conditionalFormatting sqref="X2:X20">
    <cfRule type="containsText" priority="16" operator="containsText" dxfId="70" text="NA">
      <formula>NOT(ISERROR(SEARCH("NA",X2)))</formula>
    </cfRule>
  </conditionalFormatting>
  <conditionalFormatting sqref="X2:X25">
    <cfRule type="notContainsText" priority="15" operator="notContains" dxfId="1" text="NA">
      <formula>ISERROR(SEARCH("NA",X2))</formula>
    </cfRule>
  </conditionalFormatting>
  <conditionalFormatting sqref="Y2:Y25">
    <cfRule type="containsText" priority="39" operator="containsText" dxfId="251" text="WIP">
      <formula>NOT(ISERROR(SEARCH("WIP",Y2)))</formula>
    </cfRule>
    <cfRule type="containsText" priority="40" operator="containsText" dxfId="69" text="Complete order">
      <formula>NOT(ISERROR(SEARCH("Complete order",Y2)))</formula>
    </cfRule>
  </conditionalFormatting>
  <conditionalFormatting sqref="Z2:Z25">
    <cfRule type="containsText" priority="41" operator="containsText" dxfId="1" text="fail_critical">
      <formula>NOT(ISERROR(SEARCH("fail_critical",Z2)))</formula>
    </cfRule>
    <cfRule type="containsText" priority="42" operator="containsText" dxfId="1" text="fail">
      <formula>NOT(ISERROR(SEARCH("fail",Z2)))</formula>
    </cfRule>
    <cfRule type="containsText" priority="43" operator="containsText" dxfId="0" text="pass">
      <formula>NOT(ISERROR(SEARCH("pass",Z2)))</formula>
    </cfRule>
  </conditionalFormatting>
  <dataValidations count="8">
    <dataValidation sqref="Z2:Z25" showDropDown="0" showInputMessage="1" showErrorMessage="1" allowBlank="1" type="list">
      <formula1>"pass,fail,fail_critical"</formula1>
    </dataValidation>
    <dataValidation sqref="Y2:Y25" showDropDown="0" showInputMessage="1" showErrorMessage="1" allowBlank="1" type="list">
      <formula1>"Complete order,WIP,NA"</formula1>
    </dataValidation>
    <dataValidation sqref="U2:U25" showDropDown="0" showInputMessage="1" showErrorMessage="1" allowBlank="1" type="list">
      <formula1>"Pass,Fail,Block,NA"</formula1>
    </dataValidation>
    <dataValidation sqref="L2:L25" showDropDown="0" showInputMessage="1" showErrorMessage="1" allowBlank="1" type="list">
      <formula1>"pxp1,pxp3,pxp4,pxp9,pxp11,pxp12"</formula1>
    </dataValidation>
    <dataValidation sqref="M2:M25" showDropDown="0" showInputMessage="1" showErrorMessage="1" allowBlank="1" type="list">
      <formula1>"Gen5,Gen6"</formula1>
    </dataValidation>
    <dataValidation sqref="O2:O25" showDropDown="0" showInputMessage="1" showErrorMessage="1" allowBlank="1" type="list">
      <formula1>"LTSSM,SMV_Margin"</formula1>
    </dataValidation>
    <dataValidation sqref="Q2:Q25" showDropDown="0" showInputMessage="1" showErrorMessage="1" allowBlank="1" type="list">
      <formula1>"1000,3"</formula1>
    </dataValidation>
    <dataValidation sqref="R2:S25" showDropDown="0" showInputMessage="1" showErrorMessage="1" allowBlank="1" type="list">
      <formula1>"3,NA"</formula1>
    </dataValidation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8" tint="0.7999816888943144"/>
    <outlinePr summaryBelow="0"/>
    <pageSetUpPr/>
  </sheetPr>
  <dimension ref="A1:AQ35"/>
  <sheetViews>
    <sheetView tabSelected="1" zoomScaleNormal="100" workbookViewId="0">
      <selection activeCell="N63" sqref="N63"/>
    </sheetView>
  </sheetViews>
  <sheetFormatPr baseColWidth="8" defaultRowHeight="14.5"/>
  <cols>
    <col width="6.54296875" customWidth="1" style="14" min="1" max="4"/>
    <col width="10.1796875" customWidth="1" style="14" min="5" max="5"/>
    <col width="11" customWidth="1" style="14" min="6" max="6"/>
    <col width="17" customWidth="1" style="14" min="7" max="7"/>
    <col width="15.54296875" customWidth="1" style="14" min="8" max="8"/>
    <col width="10.54296875" customWidth="1" style="14" min="9" max="9"/>
    <col width="17.453125" customWidth="1" style="14" min="10" max="10"/>
    <col width="7.453125" customWidth="1" style="14" min="11" max="11"/>
    <col width="12.453125" customWidth="1" style="14" min="12" max="12"/>
    <col width="13.81640625" customWidth="1" style="14" min="13" max="13"/>
    <col width="21.81640625" customWidth="1" style="14" min="14" max="14"/>
    <col width="9.26953125" customWidth="1" style="14" min="15" max="15"/>
    <col width="12.7265625" customWidth="1" style="14" min="16" max="16"/>
    <col width="18.81640625" customWidth="1" style="14" min="17" max="17"/>
    <col width="15.81640625" customWidth="1" style="14" min="18" max="18"/>
    <col width="30.453125" customWidth="1" style="14" min="19" max="19"/>
    <col width="9.1796875" customWidth="1" style="14" min="20" max="20"/>
    <col width="13.1796875" customWidth="1" style="14" min="21" max="21"/>
    <col width="11" customWidth="1" style="14" min="22" max="22"/>
    <col width="10.26953125" customWidth="1" style="14" min="23" max="23"/>
    <col width="9.1796875" customWidth="1" style="14" min="24" max="25"/>
    <col width="13.1796875" customWidth="1" style="14" min="26" max="26"/>
    <col width="13" customWidth="1" style="14" min="27" max="27"/>
    <col width="6.81640625" customWidth="1" style="14" min="28" max="28"/>
    <col width="9.54296875" customWidth="1" style="14" min="29" max="29"/>
    <col width="11.81640625" customWidth="1" style="14" min="30" max="30"/>
    <col width="15.1796875" customWidth="1" style="14" min="31" max="39"/>
    <col width="11.1796875" customWidth="1" style="14" min="40" max="40"/>
    <col width="14.81640625" customWidth="1" style="14" min="41" max="41"/>
    <col width="76.54296875" customWidth="1" style="14" min="42" max="42"/>
    <col width="34.1796875" customWidth="1" style="14" min="43" max="43"/>
  </cols>
  <sheetData>
    <row r="1" ht="30" customFormat="1" customHeight="1" s="7">
      <c r="A1" s="27" t="inlineStr">
        <is>
          <t>原始序列</t>
        </is>
      </c>
      <c r="B1" s="27" t="inlineStr">
        <is>
          <t xml:space="preserve">ID </t>
        </is>
      </c>
      <c r="C1" s="27" t="inlineStr">
        <is>
          <t>父 ID</t>
        </is>
      </c>
      <c r="D1" s="27" t="inlineStr">
        <is>
          <t>Level</t>
        </is>
      </c>
      <c r="E1" s="27" t="inlineStr">
        <is>
          <t>Host</t>
        </is>
      </c>
      <c r="F1" s="27" t="inlineStr">
        <is>
          <t>Board</t>
        </is>
      </c>
      <c r="G1" s="21" t="inlineStr">
        <is>
          <t>xFusion MLB  s/n</t>
        </is>
      </c>
      <c r="H1" s="21" t="inlineStr">
        <is>
          <t>BMC MLB SN</t>
        </is>
      </c>
      <c r="I1" s="21" t="inlineStr">
        <is>
          <t>CPU QDF</t>
        </is>
      </c>
      <c r="J1" s="21" t="inlineStr">
        <is>
          <t>CPU PPIN</t>
        </is>
      </c>
      <c r="K1" s="21" t="inlineStr">
        <is>
          <t>Alias</t>
        </is>
      </c>
      <c r="L1" s="21" t="inlineStr">
        <is>
          <t>DIMM Vendor</t>
        </is>
      </c>
      <c r="M1" s="21" t="inlineStr">
        <is>
          <t>DIMM RCD Vendor</t>
        </is>
      </c>
      <c r="N1" s="21" t="inlineStr">
        <is>
          <t>Memory P/N</t>
        </is>
      </c>
      <c r="O1" s="21" t="inlineStr">
        <is>
          <t>DIMM Type</t>
        </is>
      </c>
      <c r="P1" s="21" t="inlineStr">
        <is>
          <t>Config</t>
        </is>
      </c>
      <c r="Q1" s="21" t="inlineStr">
        <is>
          <t>BIOS</t>
        </is>
      </c>
      <c r="R1" s="21" t="inlineStr">
        <is>
          <t>CX8 SN</t>
        </is>
      </c>
      <c r="S1" s="21" t="inlineStr">
        <is>
          <t>Riser card</t>
        </is>
      </c>
      <c r="T1" s="21" t="inlineStr">
        <is>
          <t>Gen#</t>
        </is>
      </c>
      <c r="U1" s="21" t="inlineStr">
        <is>
          <t>Test</t>
        </is>
      </c>
      <c r="V1" s="22" t="inlineStr">
        <is>
          <t>Bifurcation</t>
        </is>
      </c>
      <c r="W1" s="22" t="inlineStr">
        <is>
          <t>PCIE</t>
        </is>
      </c>
      <c r="X1" s="21" t="inlineStr">
        <is>
          <t>Pxpstr</t>
        </is>
      </c>
      <c r="Y1" s="21" t="inlineStr">
        <is>
          <t>Portno</t>
        </is>
      </c>
      <c r="Z1" s="21" t="inlineStr">
        <is>
          <t>WO#</t>
        </is>
      </c>
      <c r="AA1" s="21" t="inlineStr">
        <is>
          <t>iteration</t>
        </is>
      </c>
      <c r="AB1" s="21" t="inlineStr">
        <is>
          <t>reset</t>
        </is>
      </c>
      <c r="AC1" s="21" t="inlineStr">
        <is>
          <t>resetType</t>
        </is>
      </c>
      <c r="AD1" s="20" t="inlineStr">
        <is>
          <t>Test Duration</t>
        </is>
      </c>
      <c r="AE1" s="21" t="inlineStr">
        <is>
          <t>Result/Margin</t>
        </is>
      </c>
      <c r="AF1" s="21" t="inlineStr">
        <is>
          <t>retrain</t>
        </is>
      </c>
      <c r="AG1" s="21" t="inlineStr">
        <is>
          <t>speedchange_all</t>
        </is>
      </c>
      <c r="AH1" s="21" t="inlineStr">
        <is>
          <t>speedchange_max</t>
        </is>
      </c>
      <c r="AI1" s="21" t="inlineStr">
        <is>
          <t>txeqredo</t>
        </is>
      </c>
      <c r="AJ1" s="21" t="inlineStr">
        <is>
          <t>pml1_disable</t>
        </is>
      </c>
      <c r="AK1" s="21" t="inlineStr">
        <is>
          <t>sbr</t>
        </is>
      </c>
      <c r="AL1" s="21" t="inlineStr">
        <is>
          <t>link_disable</t>
        </is>
      </c>
      <c r="AM1" s="21" t="inlineStr">
        <is>
          <t>pml1_enable</t>
        </is>
      </c>
      <c r="AN1" s="21" t="inlineStr">
        <is>
          <t>Pass Rate</t>
        </is>
      </c>
      <c r="AO1" s="21" t="inlineStr">
        <is>
          <t>Bug HSD#</t>
        </is>
      </c>
      <c r="AP1" s="21" t="inlineStr">
        <is>
          <t>Log Link</t>
        </is>
      </c>
      <c r="AQ1" s="21" t="inlineStr">
        <is>
          <t>Comments</t>
        </is>
      </c>
    </row>
    <row r="2" ht="15" customHeight="1">
      <c r="A2" s="107" t="n">
        <v>1</v>
      </c>
      <c r="B2" s="107" t="inlineStr">
        <is>
          <t>1L1</t>
        </is>
      </c>
      <c r="C2" s="107" t="n">
        <v>0</v>
      </c>
      <c r="D2" s="107">
        <f>IF(C2=0,1,2)</f>
        <v/>
      </c>
      <c r="E2" s="107" t="inlineStr">
        <is>
          <t>dbgsz11</t>
        </is>
      </c>
      <c r="F2" s="107" t="inlineStr">
        <is>
          <t>xFusion #2</t>
        </is>
      </c>
      <c r="G2" s="107" t="inlineStr">
        <is>
          <t>02YACYLHS3000001</t>
        </is>
      </c>
      <c r="H2" s="107" t="inlineStr">
        <is>
          <t>02YABSXFR90008</t>
        </is>
      </c>
      <c r="I2" s="107" t="inlineStr">
        <is>
          <t>ES1/Q9WK</t>
        </is>
      </c>
      <c r="J2" s="107" t="inlineStr">
        <is>
          <t>5795964AD7886700</t>
        </is>
      </c>
      <c r="K2" s="107" t="n"/>
      <c r="L2" s="107" t="inlineStr">
        <is>
          <t>Samsung</t>
        </is>
      </c>
      <c r="M2" s="107" t="inlineStr">
        <is>
          <t>Rambus</t>
        </is>
      </c>
      <c r="N2" s="39" t="inlineStr">
        <is>
          <t>M321R4GA3PB1-CCPYC</t>
        </is>
      </c>
      <c r="O2" s="107" t="inlineStr">
        <is>
          <t>RE32</t>
        </is>
      </c>
      <c r="P2" s="39" t="inlineStr">
        <is>
          <t>1DPC 6400(16)</t>
        </is>
      </c>
      <c r="Q2" s="107" t="inlineStr">
        <is>
          <t>32.D91.2604210616</t>
        </is>
      </c>
      <c r="R2" s="107" t="inlineStr">
        <is>
          <t>MT2529J01M5T</t>
        </is>
      </c>
      <c r="S2" s="107" t="inlineStr">
        <is>
          <t>02YAVXFS2000010</t>
        </is>
      </c>
      <c r="T2" s="107" t="inlineStr">
        <is>
          <t>Gen6</t>
        </is>
      </c>
      <c r="U2" s="107" t="inlineStr">
        <is>
          <t>LTSSM</t>
        </is>
      </c>
      <c r="V2" s="107" t="inlineStr">
        <is>
          <t>x8x8</t>
        </is>
      </c>
      <c r="W2" s="107" t="inlineStr">
        <is>
          <t>CX8</t>
        </is>
      </c>
      <c r="X2" s="107" t="inlineStr">
        <is>
          <t>pxp1</t>
        </is>
      </c>
      <c r="Y2" s="63" t="n">
        <v>0</v>
      </c>
      <c r="Z2" s="105" t="n">
        <v>15019294522</v>
      </c>
      <c r="AA2" s="107" t="n">
        <v>1000</v>
      </c>
      <c r="AB2" s="107" t="inlineStr">
        <is>
          <t>NA</t>
        </is>
      </c>
      <c r="AC2" s="107" t="inlineStr">
        <is>
          <t>NA</t>
        </is>
      </c>
      <c r="AD2" s="82">
        <f>SUM(LTSSM_Stress!J2:J9)/60</f>
        <v/>
      </c>
      <c r="AE2" s="13" t="inlineStr">
        <is>
          <t>FAIL</t>
        </is>
      </c>
      <c r="AF2" s="13" t="inlineStr">
        <is>
          <t>PASS</t>
        </is>
      </c>
      <c r="AG2" s="13" t="inlineStr">
        <is>
          <t>PASS</t>
        </is>
      </c>
      <c r="AH2" s="13" t="inlineStr">
        <is>
          <t>PASS</t>
        </is>
      </c>
      <c r="AI2" s="13" t="inlineStr">
        <is>
          <t>PASS</t>
        </is>
      </c>
      <c r="AJ2" s="13" t="inlineStr">
        <is>
          <t>PASS</t>
        </is>
      </c>
      <c r="AK2" s="76" t="inlineStr">
        <is>
          <t>PASS</t>
        </is>
      </c>
      <c r="AL2" s="13" t="inlineStr">
        <is>
          <t>FAIL</t>
        </is>
      </c>
      <c r="AM2" s="13" t="inlineStr">
        <is>
          <t>PASS</t>
        </is>
      </c>
      <c r="AN2" s="29" t="n">
        <v>0.875</v>
      </c>
      <c r="AO2" s="107" t="n"/>
      <c r="AP2" s="77" t="inlineStr">
        <is>
          <t>http://10.239.81.58/Xeon/NTA/PCIE/xfusion/unit2-dbgsz11/pxp1.port0_x8/LTSSM/</t>
        </is>
      </c>
      <c r="AQ2" s="59" t="inlineStr">
        <is>
          <t>link_disable: Dev 0.pxp1.port0 is in DL_Down after test!</t>
        </is>
      </c>
    </row>
    <row r="3" ht="15" customHeight="1">
      <c r="A3" s="107" t="n">
        <v>2</v>
      </c>
      <c r="B3" s="107" t="inlineStr">
        <is>
          <t>1L1</t>
        </is>
      </c>
      <c r="C3" s="107" t="n">
        <v>0</v>
      </c>
      <c r="D3" s="107">
        <f>IF(C3=0,1,2)</f>
        <v/>
      </c>
      <c r="E3" s="107" t="inlineStr">
        <is>
          <t>dbgsz11</t>
        </is>
      </c>
      <c r="F3" s="107" t="inlineStr">
        <is>
          <t>xFusion #2</t>
        </is>
      </c>
      <c r="G3" s="107" t="inlineStr">
        <is>
          <t>02YACYLHS3000001</t>
        </is>
      </c>
      <c r="H3" s="107" t="inlineStr">
        <is>
          <t>02YABSXFR90008</t>
        </is>
      </c>
      <c r="I3" s="107" t="inlineStr">
        <is>
          <t>ES1/Q9WK</t>
        </is>
      </c>
      <c r="J3" s="107" t="inlineStr">
        <is>
          <t>5795964AD7886700</t>
        </is>
      </c>
      <c r="K3" s="107" t="n"/>
      <c r="L3" s="107" t="inlineStr">
        <is>
          <t>Samsung</t>
        </is>
      </c>
      <c r="M3" s="107" t="inlineStr">
        <is>
          <t>Rambus</t>
        </is>
      </c>
      <c r="N3" s="39" t="inlineStr">
        <is>
          <t>M321R4GA3PB1-CCPYC</t>
        </is>
      </c>
      <c r="O3" s="107" t="inlineStr">
        <is>
          <t>RE32</t>
        </is>
      </c>
      <c r="P3" s="39" t="inlineStr">
        <is>
          <t>1DPC 6400(16)</t>
        </is>
      </c>
      <c r="Q3" s="107" t="inlineStr">
        <is>
          <t>32.D91.2604210616</t>
        </is>
      </c>
      <c r="R3" s="107" t="inlineStr">
        <is>
          <t>MT2529J01M5T</t>
        </is>
      </c>
      <c r="S3" s="107" t="inlineStr">
        <is>
          <t>02YAVXFS2000010</t>
        </is>
      </c>
      <c r="T3" s="107" t="inlineStr">
        <is>
          <t>Gen6</t>
        </is>
      </c>
      <c r="U3" s="107" t="inlineStr">
        <is>
          <t>LTSSM</t>
        </is>
      </c>
      <c r="V3" s="107" t="inlineStr">
        <is>
          <t>x8x8</t>
        </is>
      </c>
      <c r="W3" s="107" t="inlineStr">
        <is>
          <t>CX8</t>
        </is>
      </c>
      <c r="X3" s="107" t="inlineStr">
        <is>
          <t>pxp1</t>
        </is>
      </c>
      <c r="Y3" s="63" t="n">
        <v>4</v>
      </c>
      <c r="Z3" s="105" t="n">
        <v>15019301806</v>
      </c>
      <c r="AA3" s="107" t="n">
        <v>1000</v>
      </c>
      <c r="AB3" s="107" t="inlineStr">
        <is>
          <t>NA</t>
        </is>
      </c>
      <c r="AC3" s="107" t="inlineStr">
        <is>
          <t>NA</t>
        </is>
      </c>
      <c r="AD3" s="82">
        <f>SUM(LTSSM_Stress!J10:J17)/60</f>
        <v/>
      </c>
      <c r="AE3" s="13" t="inlineStr">
        <is>
          <t>FAIL</t>
        </is>
      </c>
      <c r="AF3" t="inlineStr">
        <is>
          <t>PASS</t>
        </is>
      </c>
      <c r="AG3" t="inlineStr">
        <is>
          <t>PASS</t>
        </is>
      </c>
      <c r="AH3" t="inlineStr">
        <is>
          <t>PASS</t>
        </is>
      </c>
      <c r="AI3" t="inlineStr">
        <is>
          <t>PASS</t>
        </is>
      </c>
      <c r="AJ3" t="inlineStr">
        <is>
          <t>PASS</t>
        </is>
      </c>
      <c r="AK3" t="inlineStr">
        <is>
          <t>PASS</t>
        </is>
      </c>
      <c r="AL3" s="69" t="inlineStr">
        <is>
          <t>FAIL</t>
        </is>
      </c>
      <c r="AM3" s="13" t="inlineStr">
        <is>
          <t>PASS</t>
        </is>
      </c>
      <c r="AN3" s="29" t="n">
        <v>0.875</v>
      </c>
      <c r="AO3" s="107" t="n"/>
      <c r="AP3" s="77" t="inlineStr">
        <is>
          <t>http://10.239.81.58/Xeon/NTA/PCIE/xfusion/unit2-dbgsz11/pxp1.port4_x8/LTSSM/</t>
        </is>
      </c>
      <c r="AQ3" s="59" t="inlineStr">
        <is>
          <t>link_disable: Dev 0.pxp1.port4 is in DL_Down after test!</t>
        </is>
      </c>
    </row>
    <row r="4" ht="15" customHeight="1">
      <c r="A4" s="107" t="n">
        <v>3</v>
      </c>
      <c r="B4" s="107" t="inlineStr">
        <is>
          <t>1L1</t>
        </is>
      </c>
      <c r="C4" s="107" t="n">
        <v>0</v>
      </c>
      <c r="D4" s="107">
        <f>IF(C4=0,1,2)</f>
        <v/>
      </c>
      <c r="E4" s="107" t="inlineStr">
        <is>
          <t>dbgsz11</t>
        </is>
      </c>
      <c r="F4" s="107" t="inlineStr">
        <is>
          <t>xFusion #2</t>
        </is>
      </c>
      <c r="G4" s="107" t="inlineStr">
        <is>
          <t>02YACYLHS3000001</t>
        </is>
      </c>
      <c r="H4" s="107" t="inlineStr">
        <is>
          <t>02YABSXFR90008</t>
        </is>
      </c>
      <c r="I4" s="107" t="inlineStr">
        <is>
          <t>ES1/Q9WK</t>
        </is>
      </c>
      <c r="J4" s="107" t="inlineStr">
        <is>
          <t>5795964AD7886700</t>
        </is>
      </c>
      <c r="K4" s="107" t="n"/>
      <c r="L4" s="107" t="inlineStr">
        <is>
          <t>Samsung</t>
        </is>
      </c>
      <c r="M4" s="107" t="inlineStr">
        <is>
          <t>Rambus</t>
        </is>
      </c>
      <c r="N4" s="39" t="inlineStr">
        <is>
          <t>M321R4GA3PB1-CCPYC</t>
        </is>
      </c>
      <c r="O4" s="107" t="inlineStr">
        <is>
          <t>RE32</t>
        </is>
      </c>
      <c r="P4" s="39" t="inlineStr">
        <is>
          <t>1DPC 6400(16)</t>
        </is>
      </c>
      <c r="Q4" s="107" t="inlineStr">
        <is>
          <t>32.D91.2604210616</t>
        </is>
      </c>
      <c r="R4" s="107" t="inlineStr">
        <is>
          <t>MT2529J01M5T</t>
        </is>
      </c>
      <c r="S4" s="107" t="inlineStr">
        <is>
          <t>02YAVXFS2000010/02YAVXFR90000008</t>
        </is>
      </c>
      <c r="T4" s="107" t="inlineStr">
        <is>
          <t>Gen6</t>
        </is>
      </c>
      <c r="U4" s="107" t="inlineStr">
        <is>
          <t>LTSSM</t>
        </is>
      </c>
      <c r="V4" s="107" t="inlineStr">
        <is>
          <t>x16</t>
        </is>
      </c>
      <c r="W4" s="107" t="inlineStr">
        <is>
          <t>CX8</t>
        </is>
      </c>
      <c r="X4" s="107" t="inlineStr">
        <is>
          <t>pxp3</t>
        </is>
      </c>
      <c r="Y4" s="63" t="n">
        <v>0</v>
      </c>
      <c r="Z4" s="105">
        <f>HYPERLINK("https://hsdes.intel.com/resource/15019302276", "15019302276")</f>
        <v/>
      </c>
      <c r="AA4" s="107" t="n">
        <v>1000</v>
      </c>
      <c r="AB4" s="107" t="inlineStr">
        <is>
          <t>NA</t>
        </is>
      </c>
      <c r="AC4" s="107" t="inlineStr">
        <is>
          <t>NA</t>
        </is>
      </c>
      <c r="AD4" s="82">
        <f>SUM(LTSSM_Stress!J18:J25)/60</f>
        <v/>
      </c>
      <c r="AE4" s="13" t="inlineStr">
        <is>
          <t>PASS</t>
        </is>
      </c>
      <c r="AF4" s="13" t="inlineStr">
        <is>
          <t>PASS</t>
        </is>
      </c>
      <c r="AG4" s="13" t="inlineStr">
        <is>
          <t>PASS</t>
        </is>
      </c>
      <c r="AH4" s="13" t="inlineStr">
        <is>
          <t>PASS</t>
        </is>
      </c>
      <c r="AI4" s="13" t="inlineStr">
        <is>
          <t>PASS</t>
        </is>
      </c>
      <c r="AJ4" s="13" t="inlineStr">
        <is>
          <t>PASS</t>
        </is>
      </c>
      <c r="AK4" s="13" t="inlineStr">
        <is>
          <t>PASS</t>
        </is>
      </c>
      <c r="AL4" s="13" t="inlineStr">
        <is>
          <t>PASS</t>
        </is>
      </c>
      <c r="AM4" s="13" t="inlineStr">
        <is>
          <t>PASS</t>
        </is>
      </c>
      <c r="AN4" s="29" t="n">
        <v>1</v>
      </c>
      <c r="AO4" s="107" t="n"/>
      <c r="AP4" s="77" t="inlineStr">
        <is>
          <t>http://10.239.81.58/Xeon/NTA/PCIE/xfusion/unit2-dbgsz11/pxp3.port0_x16/LTSSM/</t>
        </is>
      </c>
      <c r="AQ4" s="59" t="inlineStr">
        <is>
          <t>LTSSM use 02YAVXFS2000010
SMV margin use 02YAVXFR90000008</t>
        </is>
      </c>
    </row>
    <row r="5" ht="15" customHeight="1">
      <c r="A5" s="107" t="n">
        <v>4</v>
      </c>
      <c r="B5" s="107" t="inlineStr">
        <is>
          <t>1L1</t>
        </is>
      </c>
      <c r="C5" s="107" t="n">
        <v>0</v>
      </c>
      <c r="D5" s="107">
        <f>IF(C5=0,1,2)</f>
        <v/>
      </c>
      <c r="E5" s="107" t="inlineStr">
        <is>
          <t>dbgsz11</t>
        </is>
      </c>
      <c r="F5" s="107" t="inlineStr">
        <is>
          <t>xFusion #2</t>
        </is>
      </c>
      <c r="G5" s="107" t="inlineStr">
        <is>
          <t>02YACYLHS3000001</t>
        </is>
      </c>
      <c r="H5" s="107" t="inlineStr">
        <is>
          <t>02YABSXFR90008</t>
        </is>
      </c>
      <c r="I5" s="107" t="inlineStr">
        <is>
          <t>ES1/Q9WK</t>
        </is>
      </c>
      <c r="J5" s="107" t="inlineStr">
        <is>
          <t>5795964AD7886700</t>
        </is>
      </c>
      <c r="K5" s="107" t="n"/>
      <c r="L5" s="107" t="inlineStr">
        <is>
          <t>Samsung</t>
        </is>
      </c>
      <c r="M5" s="107" t="inlineStr">
        <is>
          <t>Rambus</t>
        </is>
      </c>
      <c r="N5" s="39" t="inlineStr">
        <is>
          <t>M321R4GA3PB1-CCPYC</t>
        </is>
      </c>
      <c r="O5" s="107" t="inlineStr">
        <is>
          <t>RE32</t>
        </is>
      </c>
      <c r="P5" s="39" t="inlineStr">
        <is>
          <t>1DPC 6400(16)</t>
        </is>
      </c>
      <c r="Q5" s="107" t="inlineStr">
        <is>
          <t>32.D91.2604210616</t>
        </is>
      </c>
      <c r="R5" s="107" t="inlineStr">
        <is>
          <t>MT2529J01M5T</t>
        </is>
      </c>
      <c r="S5" s="107" t="inlineStr">
        <is>
          <t>02YAVXFS2000010</t>
        </is>
      </c>
      <c r="T5" s="107" t="inlineStr">
        <is>
          <t>Gen6</t>
        </is>
      </c>
      <c r="U5" s="107" t="inlineStr">
        <is>
          <t>LTSSM</t>
        </is>
      </c>
      <c r="V5" s="107" t="inlineStr">
        <is>
          <t>x8x8</t>
        </is>
      </c>
      <c r="W5" s="107" t="inlineStr">
        <is>
          <t>CX8</t>
        </is>
      </c>
      <c r="X5" s="107" t="inlineStr">
        <is>
          <t>pxp4</t>
        </is>
      </c>
      <c r="Y5" s="63" t="n">
        <v>0</v>
      </c>
      <c r="Z5" s="105">
        <f>HYPERLINK("https://hsdes.intel.com/resource/15019304439", "15019304439")</f>
        <v/>
      </c>
      <c r="AA5" s="107" t="n">
        <v>1000</v>
      </c>
      <c r="AB5" s="107" t="inlineStr">
        <is>
          <t>NA</t>
        </is>
      </c>
      <c r="AC5" s="107" t="inlineStr">
        <is>
          <t>NA</t>
        </is>
      </c>
      <c r="AD5" s="82">
        <f>SUM(LTSSM_Stress!J26:J33)/60</f>
        <v/>
      </c>
      <c r="AE5" s="13" t="inlineStr">
        <is>
          <t>FAIL</t>
        </is>
      </c>
      <c r="AF5" s="13" t="inlineStr">
        <is>
          <t>PASS</t>
        </is>
      </c>
      <c r="AG5" s="13" t="inlineStr">
        <is>
          <t>PASS</t>
        </is>
      </c>
      <c r="AH5" s="13" t="inlineStr">
        <is>
          <t>PASS</t>
        </is>
      </c>
      <c r="AI5" s="13" t="inlineStr">
        <is>
          <t>PASS</t>
        </is>
      </c>
      <c r="AJ5" s="13" t="inlineStr">
        <is>
          <t>PASS</t>
        </is>
      </c>
      <c r="AK5" s="76" t="inlineStr">
        <is>
          <t>PASS</t>
        </is>
      </c>
      <c r="AL5" s="13" t="inlineStr">
        <is>
          <t>FAIL</t>
        </is>
      </c>
      <c r="AM5" s="13" t="inlineStr">
        <is>
          <t>PASS</t>
        </is>
      </c>
      <c r="AN5" s="29" t="n">
        <v>0.875</v>
      </c>
      <c r="AO5" s="107" t="n"/>
      <c r="AP5" s="77" t="inlineStr">
        <is>
          <t>http://10.239.81.58/Xeon/NTA/PCIE/xfusion/unit2-dbgsz11/pxp4.port0_x8/LTSSM/</t>
        </is>
      </c>
      <c r="AQ5" s="59" t="inlineStr">
        <is>
          <t>link_disable: Dev 0.pxp4.port0 is in DL_Down after test!</t>
        </is>
      </c>
    </row>
    <row r="6" ht="15" customHeight="1">
      <c r="A6" s="107" t="n">
        <v>5</v>
      </c>
      <c r="B6" s="107" t="inlineStr">
        <is>
          <t>1L1</t>
        </is>
      </c>
      <c r="C6" s="107" t="n">
        <v>0</v>
      </c>
      <c r="D6" s="107">
        <f>IF(C6=0,1,2)</f>
        <v/>
      </c>
      <c r="E6" s="107" t="inlineStr">
        <is>
          <t>dbgsz11</t>
        </is>
      </c>
      <c r="F6" s="107" t="inlineStr">
        <is>
          <t>xFusion #2</t>
        </is>
      </c>
      <c r="G6" s="107" t="inlineStr">
        <is>
          <t>02YACYLHS3000001</t>
        </is>
      </c>
      <c r="H6" s="107" t="inlineStr">
        <is>
          <t>02YABSXFR90008</t>
        </is>
      </c>
      <c r="I6" s="107" t="inlineStr">
        <is>
          <t>ES1/Q9WK</t>
        </is>
      </c>
      <c r="J6" s="107" t="inlineStr">
        <is>
          <t>5795964AD7886700</t>
        </is>
      </c>
      <c r="K6" s="107" t="n"/>
      <c r="L6" s="107" t="inlineStr">
        <is>
          <t>Samsung</t>
        </is>
      </c>
      <c r="M6" s="107" t="inlineStr">
        <is>
          <t>Rambus</t>
        </is>
      </c>
      <c r="N6" s="39" t="inlineStr">
        <is>
          <t>M321R4GA3PB1-CCPYC</t>
        </is>
      </c>
      <c r="O6" s="107" t="inlineStr">
        <is>
          <t>RE32</t>
        </is>
      </c>
      <c r="P6" s="39" t="inlineStr">
        <is>
          <t>1DPC 6400(16)</t>
        </is>
      </c>
      <c r="Q6" s="107" t="inlineStr">
        <is>
          <t>32.D91.2604210616</t>
        </is>
      </c>
      <c r="R6" s="107" t="inlineStr">
        <is>
          <t>MT2529J01M5T</t>
        </is>
      </c>
      <c r="S6" s="107" t="inlineStr">
        <is>
          <t>02YAVXFS2000010</t>
        </is>
      </c>
      <c r="T6" s="107" t="inlineStr">
        <is>
          <t>Gen6</t>
        </is>
      </c>
      <c r="U6" s="107" t="inlineStr">
        <is>
          <t>LTSSM</t>
        </is>
      </c>
      <c r="V6" s="107" t="inlineStr">
        <is>
          <t>x8x8</t>
        </is>
      </c>
      <c r="W6" s="107" t="inlineStr">
        <is>
          <t>CX8</t>
        </is>
      </c>
      <c r="X6" s="107" t="inlineStr">
        <is>
          <t>pxp4</t>
        </is>
      </c>
      <c r="Y6" s="63" t="n">
        <v>4</v>
      </c>
      <c r="Z6" s="105">
        <f>HYPERLINK("https://hsdes.intel.com/resource/15019305682", "15019305682")</f>
        <v/>
      </c>
      <c r="AA6" s="107" t="n">
        <v>1000</v>
      </c>
      <c r="AB6" s="107" t="inlineStr">
        <is>
          <t>NA</t>
        </is>
      </c>
      <c r="AC6" s="107" t="inlineStr">
        <is>
          <t>NA</t>
        </is>
      </c>
      <c r="AD6" s="82">
        <f>SUM(LTSSM_Stress!J34:J41)/60</f>
        <v/>
      </c>
      <c r="AE6" s="13" t="inlineStr">
        <is>
          <t>FAIL</t>
        </is>
      </c>
      <c r="AF6" t="inlineStr">
        <is>
          <t>PASS</t>
        </is>
      </c>
      <c r="AG6" t="inlineStr">
        <is>
          <t>PASS</t>
        </is>
      </c>
      <c r="AH6" t="inlineStr">
        <is>
          <t>PASS</t>
        </is>
      </c>
      <c r="AI6" t="inlineStr">
        <is>
          <t>PASS</t>
        </is>
      </c>
      <c r="AJ6" t="inlineStr">
        <is>
          <t>PASS</t>
        </is>
      </c>
      <c r="AK6" t="inlineStr">
        <is>
          <t>PASS</t>
        </is>
      </c>
      <c r="AL6" s="69" t="inlineStr">
        <is>
          <t>FAIL</t>
        </is>
      </c>
      <c r="AM6" s="13" t="inlineStr">
        <is>
          <t>PASS</t>
        </is>
      </c>
      <c r="AN6" s="29" t="n">
        <v>0.875</v>
      </c>
      <c r="AO6" s="107" t="n"/>
      <c r="AP6" s="77" t="inlineStr">
        <is>
          <t>http://10.239.81.58/Xeon/NTA/PCIE/xfusion/unit2-dbgsz11/pxp4.port4_x8/LTSSM/</t>
        </is>
      </c>
      <c r="AQ6" s="59" t="inlineStr">
        <is>
          <t>link_disable: Dev 0.pxp4.port4 is in DL_Down after test!</t>
        </is>
      </c>
    </row>
    <row r="7" ht="15" customHeight="1">
      <c r="A7" s="107" t="n">
        <v>6</v>
      </c>
      <c r="B7" s="107" t="inlineStr">
        <is>
          <t>1L1</t>
        </is>
      </c>
      <c r="C7" s="107" t="n">
        <v>0</v>
      </c>
      <c r="D7" s="107">
        <f>IF(C7=0,1,2)</f>
        <v/>
      </c>
      <c r="E7" s="107" t="inlineStr">
        <is>
          <t>dbgsz11</t>
        </is>
      </c>
      <c r="F7" s="107" t="inlineStr">
        <is>
          <t>xFusion #2</t>
        </is>
      </c>
      <c r="G7" s="107" t="inlineStr">
        <is>
          <t>02YACYLHS3000001</t>
        </is>
      </c>
      <c r="H7" s="107" t="inlineStr">
        <is>
          <t>02YABSXFR90008</t>
        </is>
      </c>
      <c r="I7" s="107" t="inlineStr">
        <is>
          <t>ES1/Q9WK</t>
        </is>
      </c>
      <c r="J7" s="107" t="inlineStr">
        <is>
          <t>5795964AD7886700</t>
        </is>
      </c>
      <c r="K7" s="107" t="n"/>
      <c r="L7" s="107" t="inlineStr">
        <is>
          <t>Samsung</t>
        </is>
      </c>
      <c r="M7" s="107" t="inlineStr">
        <is>
          <t>Rambus</t>
        </is>
      </c>
      <c r="N7" s="39" t="inlineStr">
        <is>
          <t>M321R4GA3PB1-CCPYC</t>
        </is>
      </c>
      <c r="O7" s="107" t="inlineStr">
        <is>
          <t>RE32</t>
        </is>
      </c>
      <c r="P7" s="39" t="inlineStr">
        <is>
          <t>1DPC 6400(16)</t>
        </is>
      </c>
      <c r="Q7" s="107" t="inlineStr">
        <is>
          <t>32.D91.2604210616</t>
        </is>
      </c>
      <c r="R7" s="107" t="inlineStr">
        <is>
          <t>MT2529J01M5T</t>
        </is>
      </c>
      <c r="S7" s="107" t="inlineStr">
        <is>
          <t>02YAVXFR90000008</t>
        </is>
      </c>
      <c r="T7" s="107" t="inlineStr">
        <is>
          <t>Gen6</t>
        </is>
      </c>
      <c r="U7" s="107" t="inlineStr">
        <is>
          <t>LTSSM</t>
        </is>
      </c>
      <c r="V7" s="107" t="inlineStr">
        <is>
          <t>x16</t>
        </is>
      </c>
      <c r="W7" s="107" t="inlineStr">
        <is>
          <t>CX8</t>
        </is>
      </c>
      <c r="X7" s="107" t="inlineStr">
        <is>
          <t>pxp9</t>
        </is>
      </c>
      <c r="Y7" s="63" t="n">
        <v>0</v>
      </c>
      <c r="Z7" s="105">
        <f>HYPERLINK("https://hsdes.intel.com/resource/15019305362", "15019305362")</f>
        <v/>
      </c>
      <c r="AA7" s="107" t="n">
        <v>1000</v>
      </c>
      <c r="AB7" s="107" t="inlineStr">
        <is>
          <t>NA</t>
        </is>
      </c>
      <c r="AC7" s="107" t="inlineStr">
        <is>
          <t>NA</t>
        </is>
      </c>
      <c r="AD7" s="82">
        <f>SUM(LTSSM_Stress!J42:J49)/60</f>
        <v/>
      </c>
      <c r="AE7" s="13" t="inlineStr">
        <is>
          <t>PASS</t>
        </is>
      </c>
      <c r="AF7" s="13" t="inlineStr">
        <is>
          <t>PASS</t>
        </is>
      </c>
      <c r="AG7" s="13" t="inlineStr">
        <is>
          <t>PASS</t>
        </is>
      </c>
      <c r="AH7" s="13" t="inlineStr">
        <is>
          <t>PASS</t>
        </is>
      </c>
      <c r="AI7" s="13" t="inlineStr">
        <is>
          <t>PASS</t>
        </is>
      </c>
      <c r="AJ7" s="13" t="inlineStr">
        <is>
          <t>PASS</t>
        </is>
      </c>
      <c r="AK7" s="13" t="inlineStr">
        <is>
          <t>PASS</t>
        </is>
      </c>
      <c r="AL7" s="13" t="inlineStr">
        <is>
          <t>PASS</t>
        </is>
      </c>
      <c r="AM7" s="13" t="inlineStr">
        <is>
          <t>PASS</t>
        </is>
      </c>
      <c r="AN7" s="29" t="n">
        <v>1</v>
      </c>
      <c r="AO7" s="105" t="n"/>
      <c r="AP7" s="77" t="inlineStr">
        <is>
          <t>http://10.239.81.58/Xeon/NTA/PCIE/xfusion/unit2-dbgsz11/pxp9.port0_x16/LTSSM/</t>
        </is>
      </c>
      <c r="AQ7" s="59" t="n"/>
    </row>
    <row r="8" ht="15" customHeight="1">
      <c r="A8" s="107" t="n">
        <v>7</v>
      </c>
      <c r="B8" s="107" t="inlineStr">
        <is>
          <t>1L1</t>
        </is>
      </c>
      <c r="C8" s="107" t="n">
        <v>0</v>
      </c>
      <c r="D8" s="107">
        <f>IF(C8=0,1,2)</f>
        <v/>
      </c>
      <c r="E8" s="107" t="inlineStr">
        <is>
          <t>dbgsz11</t>
        </is>
      </c>
      <c r="F8" s="107" t="inlineStr">
        <is>
          <t>xFusion #2</t>
        </is>
      </c>
      <c r="G8" s="107" t="inlineStr">
        <is>
          <t>02YACYLHS3000001</t>
        </is>
      </c>
      <c r="H8" s="107" t="inlineStr">
        <is>
          <t>02YABSXFR90008</t>
        </is>
      </c>
      <c r="I8" s="107" t="inlineStr">
        <is>
          <t>ES1/Q9WK</t>
        </is>
      </c>
      <c r="J8" s="107" t="inlineStr">
        <is>
          <t>5795964AD7886700</t>
        </is>
      </c>
      <c r="K8" s="107" t="n"/>
      <c r="L8" s="107" t="inlineStr">
        <is>
          <t>Samsung</t>
        </is>
      </c>
      <c r="M8" s="107" t="inlineStr">
        <is>
          <t>Rambus</t>
        </is>
      </c>
      <c r="N8" s="39" t="inlineStr">
        <is>
          <t>M321R4GA3PB1-CCPYC</t>
        </is>
      </c>
      <c r="O8" s="107" t="inlineStr">
        <is>
          <t>RE32</t>
        </is>
      </c>
      <c r="P8" s="39" t="inlineStr">
        <is>
          <t>1DPC 6400(16)</t>
        </is>
      </c>
      <c r="Q8" s="107" t="inlineStr">
        <is>
          <t>32.D91.2604210616</t>
        </is>
      </c>
      <c r="R8" s="107" t="inlineStr">
        <is>
          <t>MT2529J01M5T</t>
        </is>
      </c>
      <c r="S8" s="107" t="inlineStr">
        <is>
          <t>02YAVXFR90000008</t>
        </is>
      </c>
      <c r="T8" s="107" t="inlineStr">
        <is>
          <t>Gen6</t>
        </is>
      </c>
      <c r="U8" s="107" t="inlineStr">
        <is>
          <t>LTSSM</t>
        </is>
      </c>
      <c r="V8" s="107" t="inlineStr">
        <is>
          <t>x16</t>
        </is>
      </c>
      <c r="W8" s="107" t="inlineStr">
        <is>
          <t>CX8</t>
        </is>
      </c>
      <c r="X8" s="107" t="inlineStr">
        <is>
          <t>pxp11</t>
        </is>
      </c>
      <c r="Y8" s="63" t="n">
        <v>0</v>
      </c>
      <c r="Z8" s="105">
        <f>HYPERLINK("https://hsdes.intel.com/resource/15019305353", "15019305353")</f>
        <v/>
      </c>
      <c r="AA8" s="107" t="n">
        <v>1000</v>
      </c>
      <c r="AB8" s="107" t="inlineStr">
        <is>
          <t>NA</t>
        </is>
      </c>
      <c r="AC8" s="107" t="inlineStr">
        <is>
          <t>NA</t>
        </is>
      </c>
      <c r="AD8" s="82">
        <f>SUM(LTSSM_Stress!J50:J57)/60</f>
        <v/>
      </c>
      <c r="AE8" s="13" t="inlineStr">
        <is>
          <t>PASS</t>
        </is>
      </c>
      <c r="AF8" s="13" t="inlineStr">
        <is>
          <t>PASS</t>
        </is>
      </c>
      <c r="AG8" s="13" t="inlineStr">
        <is>
          <t>PASS</t>
        </is>
      </c>
      <c r="AH8" s="13" t="inlineStr">
        <is>
          <t>PASS</t>
        </is>
      </c>
      <c r="AI8" s="13" t="inlineStr">
        <is>
          <t>PASS</t>
        </is>
      </c>
      <c r="AJ8" s="13" t="inlineStr">
        <is>
          <t>PASS</t>
        </is>
      </c>
      <c r="AK8" s="13" t="inlineStr">
        <is>
          <t>PASS</t>
        </is>
      </c>
      <c r="AL8" s="13" t="inlineStr">
        <is>
          <t>PASS</t>
        </is>
      </c>
      <c r="AM8" s="13" t="inlineStr">
        <is>
          <t>PASS</t>
        </is>
      </c>
      <c r="AN8" s="29" t="n">
        <v>1</v>
      </c>
      <c r="AO8" s="105" t="n"/>
      <c r="AP8" s="77" t="inlineStr">
        <is>
          <t>http://10.239.81.58/Xeon/NTA/PCIE/xfusion/unit2-dbgsz11/pxp11.port0_x16/LTSSM/</t>
        </is>
      </c>
      <c r="AQ8" s="57" t="n"/>
    </row>
    <row r="9" ht="15" customHeight="1">
      <c r="A9" s="107" t="n">
        <v>8</v>
      </c>
      <c r="B9" s="107" t="inlineStr">
        <is>
          <t>1L1</t>
        </is>
      </c>
      <c r="C9" s="107" t="n">
        <v>0</v>
      </c>
      <c r="D9" s="107">
        <f>IF(C9=0,1,2)</f>
        <v/>
      </c>
      <c r="E9" s="107" t="inlineStr">
        <is>
          <t>dbgsz11</t>
        </is>
      </c>
      <c r="F9" s="107" t="inlineStr">
        <is>
          <t>xFusion #2</t>
        </is>
      </c>
      <c r="G9" s="107" t="inlineStr">
        <is>
          <t>02YACYLHS3000001</t>
        </is>
      </c>
      <c r="H9" s="107" t="inlineStr">
        <is>
          <t>02YABSXFR90008</t>
        </is>
      </c>
      <c r="I9" s="107" t="inlineStr">
        <is>
          <t>ES1/Q9WK</t>
        </is>
      </c>
      <c r="J9" s="107" t="inlineStr">
        <is>
          <t>5795964AD7886700</t>
        </is>
      </c>
      <c r="K9" s="107" t="n"/>
      <c r="L9" s="107" t="inlineStr">
        <is>
          <t>Samsung</t>
        </is>
      </c>
      <c r="M9" s="107" t="inlineStr">
        <is>
          <t>Rambus</t>
        </is>
      </c>
      <c r="N9" s="39" t="inlineStr">
        <is>
          <t>M321R4GA3PB1-CCPYC</t>
        </is>
      </c>
      <c r="O9" s="107" t="inlineStr">
        <is>
          <t>RE32</t>
        </is>
      </c>
      <c r="P9" s="39" t="inlineStr">
        <is>
          <t>1DPC 6400(16)</t>
        </is>
      </c>
      <c r="Q9" s="107" t="inlineStr">
        <is>
          <t>32.D91.2604210616</t>
        </is>
      </c>
      <c r="R9" s="107" t="inlineStr">
        <is>
          <t>MT2529J01M5T</t>
        </is>
      </c>
      <c r="S9" s="107" t="inlineStr">
        <is>
          <t>02YAVXFR90000008</t>
        </is>
      </c>
      <c r="T9" s="107" t="inlineStr">
        <is>
          <t>Gen6</t>
        </is>
      </c>
      <c r="U9" s="107" t="inlineStr">
        <is>
          <t>LTSSM</t>
        </is>
      </c>
      <c r="V9" s="107" t="inlineStr">
        <is>
          <t>x16</t>
        </is>
      </c>
      <c r="W9" s="107" t="inlineStr">
        <is>
          <t>CX8</t>
        </is>
      </c>
      <c r="X9" s="61" t="inlineStr">
        <is>
          <t>pxp12</t>
        </is>
      </c>
      <c r="Y9" s="63" t="n">
        <v>0</v>
      </c>
      <c r="Z9" s="105">
        <f>HYPERLINK("https://hsdes.intel.com/resource/15019305348", "15019305348")</f>
        <v/>
      </c>
      <c r="AA9" s="107" t="n">
        <v>1000</v>
      </c>
      <c r="AB9" s="107" t="inlineStr">
        <is>
          <t>NA</t>
        </is>
      </c>
      <c r="AC9" s="107" t="inlineStr">
        <is>
          <t>NA</t>
        </is>
      </c>
      <c r="AD9" s="82">
        <f>SUM(LTSSM_Stress!J58:J65)/60</f>
        <v/>
      </c>
      <c r="AE9" s="13" t="inlineStr">
        <is>
          <t>PASS</t>
        </is>
      </c>
      <c r="AF9" s="13" t="inlineStr">
        <is>
          <t>PASS</t>
        </is>
      </c>
      <c r="AG9" s="13" t="inlineStr">
        <is>
          <t>PASS</t>
        </is>
      </c>
      <c r="AH9" s="13" t="inlineStr">
        <is>
          <t>PASS</t>
        </is>
      </c>
      <c r="AI9" s="13" t="inlineStr">
        <is>
          <t>PASS</t>
        </is>
      </c>
      <c r="AJ9" s="13" t="inlineStr">
        <is>
          <t>PASS</t>
        </is>
      </c>
      <c r="AK9" s="13" t="inlineStr">
        <is>
          <t>PASS</t>
        </is>
      </c>
      <c r="AL9" s="13" t="inlineStr">
        <is>
          <t>PASS</t>
        </is>
      </c>
      <c r="AM9" s="13" t="inlineStr">
        <is>
          <t>PASS</t>
        </is>
      </c>
      <c r="AN9" s="29" t="n">
        <v>1</v>
      </c>
      <c r="AO9" s="107" t="n"/>
      <c r="AP9" s="77" t="inlineStr">
        <is>
          <t>http://10.239.81.58/Xeon/NTA/PCIE/xfusion/unit2-dbgsz11/pxp12.port0_x16/LTSSM/</t>
        </is>
      </c>
      <c r="AQ9" s="57" t="n"/>
    </row>
    <row r="10" ht="15" customHeight="1">
      <c r="A10" s="107" t="n">
        <v>9</v>
      </c>
      <c r="B10" s="107" t="inlineStr">
        <is>
          <t>1S1</t>
        </is>
      </c>
      <c r="C10" s="107" t="n">
        <v>0</v>
      </c>
      <c r="D10" s="107">
        <f>IF(C10=0,1,2)</f>
        <v/>
      </c>
      <c r="E10" s="107" t="inlineStr">
        <is>
          <t>dbgsz11</t>
        </is>
      </c>
      <c r="F10" s="107" t="inlineStr">
        <is>
          <t>xFusion #2</t>
        </is>
      </c>
      <c r="G10" s="107" t="inlineStr">
        <is>
          <t>02YACYLHS3000001</t>
        </is>
      </c>
      <c r="H10" s="107" t="inlineStr">
        <is>
          <t>02YABSXFR90008</t>
        </is>
      </c>
      <c r="I10" s="107" t="inlineStr">
        <is>
          <t>ES1/Q9WK</t>
        </is>
      </c>
      <c r="J10" s="107" t="inlineStr">
        <is>
          <t>5795964AD7886700</t>
        </is>
      </c>
      <c r="K10" s="107" t="n"/>
      <c r="L10" s="107" t="inlineStr">
        <is>
          <t>Samsung</t>
        </is>
      </c>
      <c r="M10" s="107" t="inlineStr">
        <is>
          <t>Rambus</t>
        </is>
      </c>
      <c r="N10" s="39" t="inlineStr">
        <is>
          <t>M321R4GA3PB1-CCPYC</t>
        </is>
      </c>
      <c r="O10" s="107" t="inlineStr">
        <is>
          <t>RE32</t>
        </is>
      </c>
      <c r="P10" s="39" t="inlineStr">
        <is>
          <t>1DPC 6400(16)</t>
        </is>
      </c>
      <c r="Q10" s="107" t="inlineStr">
        <is>
          <t>32.D91.2604210616</t>
        </is>
      </c>
      <c r="R10" s="107" t="inlineStr">
        <is>
          <t>MT2529J01M5T</t>
        </is>
      </c>
      <c r="S10" s="107" t="inlineStr">
        <is>
          <t>02YAVXFS2000010</t>
        </is>
      </c>
      <c r="T10" s="107" t="inlineStr">
        <is>
          <t>Gen6</t>
        </is>
      </c>
      <c r="U10" s="107" t="inlineStr">
        <is>
          <t>SMV_Margin</t>
        </is>
      </c>
      <c r="V10" s="107" t="inlineStr">
        <is>
          <t>x8x8</t>
        </is>
      </c>
      <c r="W10" s="107" t="inlineStr">
        <is>
          <t>CX8</t>
        </is>
      </c>
      <c r="X10" s="107" t="inlineStr">
        <is>
          <t>pxp1</t>
        </is>
      </c>
      <c r="Y10" s="63" t="n">
        <v>0</v>
      </c>
      <c r="Z10" s="105" t="n">
        <v>15019294637</v>
      </c>
      <c r="AA10" s="107" t="n">
        <v>3</v>
      </c>
      <c r="AB10" s="107" t="n">
        <v>3</v>
      </c>
      <c r="AC10" s="107" t="n">
        <v>3</v>
      </c>
      <c r="AD10" s="82">
        <f>ROUND((VALUE(LEFT(SMV_Margin!G2,SEARCH(":",SMV_Margin!G2)-1)) + VALUE(MID(SMV_Margin!G2,SEARCH(":",SMV_Margin!G2)+1,2))/60 + VALUE(RIGHT(SMV_Margin!G2,2))/3600),2)</f>
        <v/>
      </c>
      <c r="AE10" s="13" t="inlineStr">
        <is>
          <t>PASS</t>
        </is>
      </c>
      <c r="AF10" s="13" t="inlineStr">
        <is>
          <t>NA</t>
        </is>
      </c>
      <c r="AG10" s="13" t="inlineStr">
        <is>
          <t>NA</t>
        </is>
      </c>
      <c r="AH10" s="13" t="inlineStr">
        <is>
          <t>NA</t>
        </is>
      </c>
      <c r="AI10" s="13" t="inlineStr">
        <is>
          <t>NA</t>
        </is>
      </c>
      <c r="AJ10" s="13" t="inlineStr">
        <is>
          <t>NA</t>
        </is>
      </c>
      <c r="AK10" s="13" t="inlineStr">
        <is>
          <t>NA</t>
        </is>
      </c>
      <c r="AL10" s="13" t="inlineStr">
        <is>
          <t>NA</t>
        </is>
      </c>
      <c r="AM10" s="13" t="inlineStr">
        <is>
          <t>NA</t>
        </is>
      </c>
      <c r="AN10" s="29" t="n">
        <v>1</v>
      </c>
      <c r="AO10" s="107" t="n"/>
      <c r="AP10" s="77" t="inlineStr">
        <is>
          <t>http://10.239.81.58/Xeon/NTA/PCIE/xfusion/unit2-dbgsz11/pxp1.port0_x8/SMV/</t>
        </is>
      </c>
      <c r="AQ10" s="57" t="n"/>
    </row>
    <row r="11" ht="15" customHeight="1">
      <c r="A11" s="107" t="n">
        <v>10</v>
      </c>
      <c r="B11" s="107" t="inlineStr">
        <is>
          <t>1S1</t>
        </is>
      </c>
      <c r="C11" s="107" t="n">
        <v>0</v>
      </c>
      <c r="D11" s="107">
        <f>IF(C11=0,1,2)</f>
        <v/>
      </c>
      <c r="E11" s="107" t="inlineStr">
        <is>
          <t>dbgsz11</t>
        </is>
      </c>
      <c r="F11" s="107" t="inlineStr">
        <is>
          <t>xFusion #2</t>
        </is>
      </c>
      <c r="G11" s="107" t="inlineStr">
        <is>
          <t>02YACYLHS3000001</t>
        </is>
      </c>
      <c r="H11" s="107" t="inlineStr">
        <is>
          <t>02YABSXFR90008</t>
        </is>
      </c>
      <c r="I11" s="107" t="inlineStr">
        <is>
          <t>ES1/Q9WK</t>
        </is>
      </c>
      <c r="J11" s="107" t="inlineStr">
        <is>
          <t>5795964AD7886700</t>
        </is>
      </c>
      <c r="K11" s="107" t="n"/>
      <c r="L11" s="107" t="inlineStr">
        <is>
          <t>Samsung</t>
        </is>
      </c>
      <c r="M11" s="107" t="inlineStr">
        <is>
          <t>Rambus</t>
        </is>
      </c>
      <c r="N11" s="39" t="inlineStr">
        <is>
          <t>M321R4GA3PB1-CCPYC</t>
        </is>
      </c>
      <c r="O11" s="107" t="inlineStr">
        <is>
          <t>RE32</t>
        </is>
      </c>
      <c r="P11" s="39" t="inlineStr">
        <is>
          <t>1DPC 6400(16)</t>
        </is>
      </c>
      <c r="Q11" s="107" t="inlineStr">
        <is>
          <t>32.D91.2604210616</t>
        </is>
      </c>
      <c r="R11" s="107" t="inlineStr">
        <is>
          <t>MT2529J01M5T</t>
        </is>
      </c>
      <c r="S11" s="107" t="inlineStr">
        <is>
          <t>02YAVXFS2000010</t>
        </is>
      </c>
      <c r="T11" s="107" t="inlineStr">
        <is>
          <t>Gen6</t>
        </is>
      </c>
      <c r="U11" s="107" t="inlineStr">
        <is>
          <t>SMV_Margin</t>
        </is>
      </c>
      <c r="V11" s="107" t="inlineStr">
        <is>
          <t>x8x8</t>
        </is>
      </c>
      <c r="W11" s="107" t="inlineStr">
        <is>
          <t>CX8</t>
        </is>
      </c>
      <c r="X11" s="107" t="inlineStr">
        <is>
          <t>pxp1</t>
        </is>
      </c>
      <c r="Y11" s="63" t="n">
        <v>4</v>
      </c>
      <c r="Z11" s="105" t="n">
        <v>15019302214</v>
      </c>
      <c r="AA11" s="107" t="n">
        <v>3</v>
      </c>
      <c r="AB11" s="107" t="n">
        <v>3</v>
      </c>
      <c r="AC11" s="107" t="n">
        <v>3</v>
      </c>
      <c r="AD11" s="82">
        <f>ROUND((VALUE(LEFT(SMV_Margin!G3,SEARCH(":",SMV_Margin!G3)-1)) + VALUE(MID(SMV_Margin!G3,SEARCH(":",SMV_Margin!G3)+1,2))/60 + VALUE(RIGHT(SMV_Margin!G3,2))/3600),2)</f>
        <v/>
      </c>
      <c r="AE11" s="13" t="inlineStr">
        <is>
          <t>PASS</t>
        </is>
      </c>
      <c r="AF11" s="13" t="inlineStr">
        <is>
          <t>NA</t>
        </is>
      </c>
      <c r="AG11" s="13" t="inlineStr">
        <is>
          <t>NA</t>
        </is>
      </c>
      <c r="AH11" s="13" t="inlineStr">
        <is>
          <t>NA</t>
        </is>
      </c>
      <c r="AI11" s="13" t="inlineStr">
        <is>
          <t>NA</t>
        </is>
      </c>
      <c r="AJ11" s="13" t="inlineStr">
        <is>
          <t>NA</t>
        </is>
      </c>
      <c r="AK11" s="13" t="inlineStr">
        <is>
          <t>NA</t>
        </is>
      </c>
      <c r="AL11" s="13" t="inlineStr">
        <is>
          <t>NA</t>
        </is>
      </c>
      <c r="AM11" s="13" t="inlineStr">
        <is>
          <t>NA</t>
        </is>
      </c>
      <c r="AN11" s="29" t="n">
        <v>1</v>
      </c>
      <c r="AO11" s="107" t="n"/>
      <c r="AP11" s="77" t="inlineStr">
        <is>
          <t>http://10.239.81.58/Xeon/NTA/PCIE/xfusion/unit2-dbgsz11/pxp1.port4_x8/SMV/</t>
        </is>
      </c>
      <c r="AQ11" s="57" t="n"/>
    </row>
    <row r="12" ht="15" customHeight="1">
      <c r="A12" s="107" t="n">
        <v>11</v>
      </c>
      <c r="B12" s="107" t="inlineStr">
        <is>
          <t>1S1</t>
        </is>
      </c>
      <c r="C12" s="107" t="n">
        <v>0</v>
      </c>
      <c r="D12" s="107">
        <f>IF(C12=0,1,2)</f>
        <v/>
      </c>
      <c r="E12" s="107" t="inlineStr">
        <is>
          <t>dbgsz11</t>
        </is>
      </c>
      <c r="F12" s="107" t="inlineStr">
        <is>
          <t>xFusion #2</t>
        </is>
      </c>
      <c r="G12" s="107" t="inlineStr">
        <is>
          <t>02YACYLHS3000001</t>
        </is>
      </c>
      <c r="H12" s="107" t="inlineStr">
        <is>
          <t>02YABSXFR90008</t>
        </is>
      </c>
      <c r="I12" s="107" t="inlineStr">
        <is>
          <t>ES1/Q9WK</t>
        </is>
      </c>
      <c r="J12" s="107" t="inlineStr">
        <is>
          <t>5795964AD7886700</t>
        </is>
      </c>
      <c r="K12" s="107" t="n"/>
      <c r="L12" s="107" t="inlineStr">
        <is>
          <t>Samsung</t>
        </is>
      </c>
      <c r="M12" s="107" t="inlineStr">
        <is>
          <t>Rambus</t>
        </is>
      </c>
      <c r="N12" s="39" t="inlineStr">
        <is>
          <t>M321R4GA3PB1-CCPYC</t>
        </is>
      </c>
      <c r="O12" s="107" t="inlineStr">
        <is>
          <t>RE32</t>
        </is>
      </c>
      <c r="P12" s="39" t="inlineStr">
        <is>
          <t>1DPC 6400(16)</t>
        </is>
      </c>
      <c r="Q12" s="107" t="inlineStr">
        <is>
          <t>32.D91.2604210616</t>
        </is>
      </c>
      <c r="R12" s="107" t="inlineStr">
        <is>
          <t>MT2529J01M5T</t>
        </is>
      </c>
      <c r="S12" s="107" t="inlineStr">
        <is>
          <t>02YAVXFS2000010/02YAVXFR90000008</t>
        </is>
      </c>
      <c r="T12" s="107" t="inlineStr">
        <is>
          <t>Gen6</t>
        </is>
      </c>
      <c r="U12" s="107" t="inlineStr">
        <is>
          <t>SMV_Margin</t>
        </is>
      </c>
      <c r="V12" s="107" t="inlineStr">
        <is>
          <t>x16</t>
        </is>
      </c>
      <c r="W12" s="107" t="inlineStr">
        <is>
          <t>CX8</t>
        </is>
      </c>
      <c r="X12" s="107" t="inlineStr">
        <is>
          <t>pxp3</t>
        </is>
      </c>
      <c r="Y12" s="63" t="n">
        <v>0</v>
      </c>
      <c r="Z12" s="105">
        <f>HYPERLINK("https://hsdes.intel.com/resource/15019302281", "15019302281")</f>
        <v/>
      </c>
      <c r="AA12" s="107" t="n">
        <v>3</v>
      </c>
      <c r="AB12" s="107" t="n">
        <v>3</v>
      </c>
      <c r="AC12" s="107" t="n">
        <v>3</v>
      </c>
      <c r="AD12" s="82">
        <f>ROUND((VALUE(LEFT(SMV_Margin!G4,SEARCH(":",SMV_Margin!G4)-1)) + VALUE(MID(SMV_Margin!G4,SEARCH(":",SMV_Margin!G4)+1,2))/60 + VALUE(RIGHT(SMV_Margin!G4,2))/3600),2)</f>
        <v/>
      </c>
      <c r="AE12" s="13" t="inlineStr">
        <is>
          <t>PASS</t>
        </is>
      </c>
      <c r="AF12" s="13" t="inlineStr">
        <is>
          <t>NA</t>
        </is>
      </c>
      <c r="AG12" s="13" t="inlineStr">
        <is>
          <t>NA</t>
        </is>
      </c>
      <c r="AH12" s="13" t="inlineStr">
        <is>
          <t>NA</t>
        </is>
      </c>
      <c r="AI12" s="13" t="inlineStr">
        <is>
          <t>NA</t>
        </is>
      </c>
      <c r="AJ12" s="13" t="inlineStr">
        <is>
          <t>NA</t>
        </is>
      </c>
      <c r="AK12" s="13" t="inlineStr">
        <is>
          <t>NA</t>
        </is>
      </c>
      <c r="AL12" s="13" t="inlineStr">
        <is>
          <t>NA</t>
        </is>
      </c>
      <c r="AM12" s="13" t="inlineStr">
        <is>
          <t>NA</t>
        </is>
      </c>
      <c r="AN12" s="29" t="n">
        <v>1</v>
      </c>
      <c r="AO12" s="107" t="n"/>
      <c r="AP12" s="77" t="inlineStr">
        <is>
          <t>http://10.239.81.58/Xeon/NTA/PCIE/xfusion/unit2-dbgsz11/pxp3.port0_x16/SMV/</t>
        </is>
      </c>
      <c r="AQ12" s="59" t="inlineStr">
        <is>
          <t>LTSSM use 02YAVXFS2000010
SMV margin use 02YAVXFR90000008</t>
        </is>
      </c>
    </row>
    <row r="13" ht="15" customHeight="1">
      <c r="A13" s="107" t="n">
        <v>12</v>
      </c>
      <c r="B13" s="107" t="inlineStr">
        <is>
          <t>1S1</t>
        </is>
      </c>
      <c r="C13" s="107" t="n">
        <v>0</v>
      </c>
      <c r="D13" s="107">
        <f>IF(C13=0,1,2)</f>
        <v/>
      </c>
      <c r="E13" s="107" t="inlineStr">
        <is>
          <t>dbgsz11</t>
        </is>
      </c>
      <c r="F13" s="107" t="inlineStr">
        <is>
          <t>xFusion #2</t>
        </is>
      </c>
      <c r="G13" s="107" t="inlineStr">
        <is>
          <t>02YACYLHS3000001</t>
        </is>
      </c>
      <c r="H13" s="107" t="inlineStr">
        <is>
          <t>02YABSXFR90008</t>
        </is>
      </c>
      <c r="I13" s="107" t="inlineStr">
        <is>
          <t>ES1/Q9WK</t>
        </is>
      </c>
      <c r="J13" s="107" t="inlineStr">
        <is>
          <t>5795964AD7886700</t>
        </is>
      </c>
      <c r="K13" s="107" t="n"/>
      <c r="L13" s="107" t="inlineStr">
        <is>
          <t>Samsung</t>
        </is>
      </c>
      <c r="M13" s="107" t="inlineStr">
        <is>
          <t>Rambus</t>
        </is>
      </c>
      <c r="N13" s="39" t="inlineStr">
        <is>
          <t>M321R4GA3PB1-CCPYC</t>
        </is>
      </c>
      <c r="O13" s="107" t="inlineStr">
        <is>
          <t>RE32</t>
        </is>
      </c>
      <c r="P13" s="39" t="inlineStr">
        <is>
          <t>1DPC 6400(16)</t>
        </is>
      </c>
      <c r="Q13" s="107" t="inlineStr">
        <is>
          <t>32.D91.2604210616</t>
        </is>
      </c>
      <c r="R13" s="107" t="inlineStr">
        <is>
          <t>MT2529J01M5T</t>
        </is>
      </c>
      <c r="S13" s="107" t="inlineStr">
        <is>
          <t>02YAVXFS2000010</t>
        </is>
      </c>
      <c r="T13" s="107" t="inlineStr">
        <is>
          <t>Gen6</t>
        </is>
      </c>
      <c r="U13" s="107" t="inlineStr">
        <is>
          <t>SMV_Margin</t>
        </is>
      </c>
      <c r="V13" s="107" t="inlineStr">
        <is>
          <t>x8x8</t>
        </is>
      </c>
      <c r="W13" s="107" t="inlineStr">
        <is>
          <t>CX8</t>
        </is>
      </c>
      <c r="X13" s="107" t="inlineStr">
        <is>
          <t>pxp4</t>
        </is>
      </c>
      <c r="Y13" s="63" t="n">
        <v>0</v>
      </c>
      <c r="Z13" s="105">
        <f>HYPERLINK("https://hsdes.intel.com/resource/15019304890", "15019304890")</f>
        <v/>
      </c>
      <c r="AA13" s="107" t="n">
        <v>3</v>
      </c>
      <c r="AB13" s="107" t="n">
        <v>3</v>
      </c>
      <c r="AC13" s="107" t="n">
        <v>3</v>
      </c>
      <c r="AD13" s="82">
        <f>ROUND((VALUE(LEFT(SMV_Margin!G5,SEARCH(":",SMV_Margin!G5)-1)) + VALUE(MID(SMV_Margin!G5,SEARCH(":",SMV_Margin!G5)+1,2))/60 + VALUE(RIGHT(SMV_Margin!G5,2))/3600),2)</f>
        <v/>
      </c>
      <c r="AE13" s="13" t="inlineStr">
        <is>
          <t>PASS</t>
        </is>
      </c>
      <c r="AF13" s="13" t="inlineStr">
        <is>
          <t>NA</t>
        </is>
      </c>
      <c r="AG13" s="13" t="inlineStr">
        <is>
          <t>NA</t>
        </is>
      </c>
      <c r="AH13" s="13" t="inlineStr">
        <is>
          <t>NA</t>
        </is>
      </c>
      <c r="AI13" s="13" t="inlineStr">
        <is>
          <t>NA</t>
        </is>
      </c>
      <c r="AJ13" s="13" t="inlineStr">
        <is>
          <t>NA</t>
        </is>
      </c>
      <c r="AK13" s="13" t="inlineStr">
        <is>
          <t>NA</t>
        </is>
      </c>
      <c r="AL13" s="13" t="inlineStr">
        <is>
          <t>NA</t>
        </is>
      </c>
      <c r="AM13" s="13" t="inlineStr">
        <is>
          <t>NA</t>
        </is>
      </c>
      <c r="AN13" s="29" t="n">
        <v>1</v>
      </c>
      <c r="AO13" s="107" t="n"/>
      <c r="AP13" s="77" t="inlineStr">
        <is>
          <t>http://10.239.81.58/Xeon/NTA/PCIE/xfusion/unit2-dbgsz11/pxp4.port0_x8/SMV/</t>
        </is>
      </c>
      <c r="AQ13" s="57" t="n"/>
    </row>
    <row r="14" ht="15" customHeight="1">
      <c r="A14" s="107" t="n">
        <v>13</v>
      </c>
      <c r="B14" s="107" t="inlineStr">
        <is>
          <t>1S1</t>
        </is>
      </c>
      <c r="C14" s="107" t="n">
        <v>0</v>
      </c>
      <c r="D14" s="107">
        <f>IF(C14=0,1,2)</f>
        <v/>
      </c>
      <c r="E14" s="107" t="inlineStr">
        <is>
          <t>dbgsz11</t>
        </is>
      </c>
      <c r="F14" s="107" t="inlineStr">
        <is>
          <t>xFusion #2</t>
        </is>
      </c>
      <c r="G14" s="107" t="inlineStr">
        <is>
          <t>02YACYLHS3000001</t>
        </is>
      </c>
      <c r="H14" s="107" t="inlineStr">
        <is>
          <t>02YABSXFR90008</t>
        </is>
      </c>
      <c r="I14" s="107" t="inlineStr">
        <is>
          <t>ES1/Q9WK</t>
        </is>
      </c>
      <c r="J14" s="107" t="inlineStr">
        <is>
          <t>5795964AD7886700</t>
        </is>
      </c>
      <c r="K14" s="107" t="n"/>
      <c r="L14" s="107" t="inlineStr">
        <is>
          <t>Samsung</t>
        </is>
      </c>
      <c r="M14" s="107" t="inlineStr">
        <is>
          <t>Rambus</t>
        </is>
      </c>
      <c r="N14" s="39" t="inlineStr">
        <is>
          <t>M321R4GA3PB1-CCPYC</t>
        </is>
      </c>
      <c r="O14" s="107" t="inlineStr">
        <is>
          <t>RE32</t>
        </is>
      </c>
      <c r="P14" s="39" t="inlineStr">
        <is>
          <t>1DPC 6400(16)</t>
        </is>
      </c>
      <c r="Q14" s="107" t="inlineStr">
        <is>
          <t>32.D91.2604210616</t>
        </is>
      </c>
      <c r="R14" s="107" t="inlineStr">
        <is>
          <t>MT2529J01M5T</t>
        </is>
      </c>
      <c r="S14" s="107" t="inlineStr">
        <is>
          <t>02YAVXFS2000010</t>
        </is>
      </c>
      <c r="T14" s="107" t="inlineStr">
        <is>
          <t>Gen6</t>
        </is>
      </c>
      <c r="U14" s="107" t="inlineStr">
        <is>
          <t>SMV_Margin</t>
        </is>
      </c>
      <c r="V14" s="107" t="inlineStr">
        <is>
          <t>x8x8</t>
        </is>
      </c>
      <c r="W14" s="107" t="inlineStr">
        <is>
          <t>CX8</t>
        </is>
      </c>
      <c r="X14" s="107" t="inlineStr">
        <is>
          <t>pxp4</t>
        </is>
      </c>
      <c r="Y14" s="63" t="n">
        <v>4</v>
      </c>
      <c r="Z14" s="105">
        <f>HYPERLINK("https://hsdes.intel.com/resource/15019305093", "15019305093")</f>
        <v/>
      </c>
      <c r="AA14" s="107" t="n">
        <v>3</v>
      </c>
      <c r="AB14" s="107" t="n">
        <v>3</v>
      </c>
      <c r="AC14" s="107" t="n">
        <v>3</v>
      </c>
      <c r="AD14" s="82">
        <f>ROUND((VALUE(LEFT(SMV_Margin!G6,SEARCH(":",SMV_Margin!G6)-1)) + VALUE(MID(SMV_Margin!G6,SEARCH(":",SMV_Margin!G6)+1,2))/60 + VALUE(RIGHT(SMV_Margin!G6,2))/3600),2)</f>
        <v/>
      </c>
      <c r="AE14" s="13" t="inlineStr">
        <is>
          <t>PASS</t>
        </is>
      </c>
      <c r="AF14" s="13" t="inlineStr">
        <is>
          <t>NA</t>
        </is>
      </c>
      <c r="AG14" s="13" t="inlineStr">
        <is>
          <t>NA</t>
        </is>
      </c>
      <c r="AH14" s="13" t="inlineStr">
        <is>
          <t>NA</t>
        </is>
      </c>
      <c r="AI14" s="13" t="inlineStr">
        <is>
          <t>NA</t>
        </is>
      </c>
      <c r="AJ14" s="13" t="inlineStr">
        <is>
          <t>NA</t>
        </is>
      </c>
      <c r="AK14" s="13" t="inlineStr">
        <is>
          <t>NA</t>
        </is>
      </c>
      <c r="AL14" s="13" t="inlineStr">
        <is>
          <t>NA</t>
        </is>
      </c>
      <c r="AM14" s="13" t="inlineStr">
        <is>
          <t>NA</t>
        </is>
      </c>
      <c r="AN14" s="29" t="n">
        <v>1</v>
      </c>
      <c r="AO14" s="107" t="n"/>
      <c r="AP14" s="77" t="inlineStr">
        <is>
          <t>http://10.239.81.58/Xeon/NTA/PCIE/xfusion/unit2-dbgsz11/pxp4.port4_x8/SMV/</t>
        </is>
      </c>
      <c r="AQ14" s="57" t="n"/>
    </row>
    <row r="15" ht="15" customFormat="1" customHeight="1" s="14">
      <c r="A15" s="107" t="n">
        <v>14</v>
      </c>
      <c r="B15" s="107" t="inlineStr">
        <is>
          <t>1S1</t>
        </is>
      </c>
      <c r="C15" s="107" t="n">
        <v>0</v>
      </c>
      <c r="D15" s="107">
        <f>IF(C15=0,1,2)</f>
        <v/>
      </c>
      <c r="E15" s="107" t="inlineStr">
        <is>
          <t>dbgsz11</t>
        </is>
      </c>
      <c r="F15" s="107" t="inlineStr">
        <is>
          <t>xFusion #2</t>
        </is>
      </c>
      <c r="G15" s="107" t="inlineStr">
        <is>
          <t>02YACYLHS3000001</t>
        </is>
      </c>
      <c r="H15" s="107" t="inlineStr">
        <is>
          <t>02YABSXFR90008</t>
        </is>
      </c>
      <c r="I15" s="107" t="inlineStr">
        <is>
          <t>ES1/Q9WK</t>
        </is>
      </c>
      <c r="J15" s="107" t="inlineStr">
        <is>
          <t>5795964AD7886700</t>
        </is>
      </c>
      <c r="K15" s="107" t="n"/>
      <c r="L15" s="107" t="inlineStr">
        <is>
          <t>Samsung</t>
        </is>
      </c>
      <c r="M15" s="107" t="inlineStr">
        <is>
          <t>Rambus</t>
        </is>
      </c>
      <c r="N15" s="39" t="inlineStr">
        <is>
          <t>M321R4GA3PB1-CCPYC</t>
        </is>
      </c>
      <c r="O15" s="107" t="inlineStr">
        <is>
          <t>RE32</t>
        </is>
      </c>
      <c r="P15" s="39" t="inlineStr">
        <is>
          <t>1DPC 6400(16)</t>
        </is>
      </c>
      <c r="Q15" s="107" t="inlineStr">
        <is>
          <t>32.D91.2604210616</t>
        </is>
      </c>
      <c r="R15" s="107" t="inlineStr">
        <is>
          <t>MT2529J01M5T</t>
        </is>
      </c>
      <c r="S15" s="107" t="inlineStr">
        <is>
          <t>02YAVXFR90000008</t>
        </is>
      </c>
      <c r="T15" s="107" t="inlineStr">
        <is>
          <t>Gen6</t>
        </is>
      </c>
      <c r="U15" s="107" t="inlineStr">
        <is>
          <t>SMV_Margin</t>
        </is>
      </c>
      <c r="V15" s="107" t="inlineStr">
        <is>
          <t>x16</t>
        </is>
      </c>
      <c r="W15" s="107" t="inlineStr">
        <is>
          <t>CX8</t>
        </is>
      </c>
      <c r="X15" s="107" t="inlineStr">
        <is>
          <t>pxp9</t>
        </is>
      </c>
      <c r="Y15" s="63" t="n">
        <v>0</v>
      </c>
      <c r="Z15" s="105">
        <f>HYPERLINK("https://hsdes.intel.com/resource/15019305366", "15019305366")</f>
        <v/>
      </c>
      <c r="AA15" s="107" t="n">
        <v>3</v>
      </c>
      <c r="AB15" s="107" t="n">
        <v>3</v>
      </c>
      <c r="AC15" s="107" t="n">
        <v>3</v>
      </c>
      <c r="AD15" s="82">
        <f>ROUND((VALUE(LEFT(SMV_Margin!G7,SEARCH(":",SMV_Margin!G7)-1)) + VALUE(MID(SMV_Margin!G7,SEARCH(":",SMV_Margin!G7)+1,2))/60 + VALUE(RIGHT(SMV_Margin!G7,2))/3600),2)</f>
        <v/>
      </c>
      <c r="AE15" s="13" t="inlineStr">
        <is>
          <t>PASS</t>
        </is>
      </c>
      <c r="AF15" s="13" t="inlineStr">
        <is>
          <t>NA</t>
        </is>
      </c>
      <c r="AG15" s="13" t="inlineStr">
        <is>
          <t>NA</t>
        </is>
      </c>
      <c r="AH15" s="13" t="inlineStr">
        <is>
          <t>NA</t>
        </is>
      </c>
      <c r="AI15" s="13" t="inlineStr">
        <is>
          <t>NA</t>
        </is>
      </c>
      <c r="AJ15" s="13" t="inlineStr">
        <is>
          <t>NA</t>
        </is>
      </c>
      <c r="AK15" s="13" t="inlineStr">
        <is>
          <t>NA</t>
        </is>
      </c>
      <c r="AL15" s="13" t="inlineStr">
        <is>
          <t>NA</t>
        </is>
      </c>
      <c r="AM15" s="13" t="inlineStr">
        <is>
          <t>NA</t>
        </is>
      </c>
      <c r="AN15" s="29" t="n">
        <v>1</v>
      </c>
      <c r="AO15" s="107" t="n"/>
      <c r="AP15" s="77" t="inlineStr">
        <is>
          <t>http://10.239.81.58/Xeon/NTA/PCIE/xfusion/unit2-dbgsz11/pxp9.port0_x16/SMV/</t>
        </is>
      </c>
      <c r="AQ15" s="57" t="n"/>
    </row>
    <row r="16" ht="15" customFormat="1" customHeight="1" s="14">
      <c r="A16" s="107" t="n">
        <v>15</v>
      </c>
      <c r="B16" s="107" t="inlineStr">
        <is>
          <t>1S1</t>
        </is>
      </c>
      <c r="C16" s="107" t="n">
        <v>0</v>
      </c>
      <c r="D16" s="107">
        <f>IF(C16=0,1,2)</f>
        <v/>
      </c>
      <c r="E16" s="107" t="inlineStr">
        <is>
          <t>dbgsz11</t>
        </is>
      </c>
      <c r="F16" s="107" t="inlineStr">
        <is>
          <t>xFusion #2</t>
        </is>
      </c>
      <c r="G16" s="107" t="inlineStr">
        <is>
          <t>02YACYLHS3000001</t>
        </is>
      </c>
      <c r="H16" s="107" t="inlineStr">
        <is>
          <t>02YABSXFR90008</t>
        </is>
      </c>
      <c r="I16" s="107" t="inlineStr">
        <is>
          <t>ES1/Q9WK</t>
        </is>
      </c>
      <c r="J16" s="107" t="inlineStr">
        <is>
          <t>5795964AD7886700</t>
        </is>
      </c>
      <c r="K16" s="107" t="n"/>
      <c r="L16" s="107" t="inlineStr">
        <is>
          <t>Samsung</t>
        </is>
      </c>
      <c r="M16" s="107" t="inlineStr">
        <is>
          <t>Rambus</t>
        </is>
      </c>
      <c r="N16" s="39" t="inlineStr">
        <is>
          <t>M321R4GA3PB1-CCPYC</t>
        </is>
      </c>
      <c r="O16" s="107" t="inlineStr">
        <is>
          <t>RE32</t>
        </is>
      </c>
      <c r="P16" s="39" t="inlineStr">
        <is>
          <t>1DPC 6400(16)</t>
        </is>
      </c>
      <c r="Q16" s="107" t="inlineStr">
        <is>
          <t>32.D91.2604210616</t>
        </is>
      </c>
      <c r="R16" s="107" t="inlineStr">
        <is>
          <t>MT2529J01M5T</t>
        </is>
      </c>
      <c r="S16" s="107" t="inlineStr">
        <is>
          <t>02YAVXFR90000008</t>
        </is>
      </c>
      <c r="T16" s="107" t="inlineStr">
        <is>
          <t>Gen6</t>
        </is>
      </c>
      <c r="U16" s="107" t="inlineStr">
        <is>
          <t>SMV_Margin</t>
        </is>
      </c>
      <c r="V16" s="107" t="inlineStr">
        <is>
          <t>x16</t>
        </is>
      </c>
      <c r="W16" s="107" t="inlineStr">
        <is>
          <t>CX8</t>
        </is>
      </c>
      <c r="X16" s="107" t="inlineStr">
        <is>
          <t>pxp11</t>
        </is>
      </c>
      <c r="Y16" s="63" t="n">
        <v>0</v>
      </c>
      <c r="Z16" s="105">
        <f>HYPERLINK("https://hsdes.intel.com/resource/15019305355", "15019305355")</f>
        <v/>
      </c>
      <c r="AA16" s="107" t="n">
        <v>3</v>
      </c>
      <c r="AB16" s="107" t="n">
        <v>3</v>
      </c>
      <c r="AC16" s="107" t="n">
        <v>3</v>
      </c>
      <c r="AD16" s="82">
        <f>ROUND((VALUE(LEFT(SMV_Margin!G8,SEARCH(":",SMV_Margin!G8)-1)) + VALUE(MID(SMV_Margin!G8,SEARCH(":",SMV_Margin!G8)+1,2))/60 + VALUE(RIGHT(SMV_Margin!G8,2))/3600),2)</f>
        <v/>
      </c>
      <c r="AE16" s="13" t="inlineStr">
        <is>
          <t>PASS</t>
        </is>
      </c>
      <c r="AF16" s="13" t="inlineStr">
        <is>
          <t>NA</t>
        </is>
      </c>
      <c r="AG16" s="13" t="inlineStr">
        <is>
          <t>NA</t>
        </is>
      </c>
      <c r="AH16" s="13" t="inlineStr">
        <is>
          <t>NA</t>
        </is>
      </c>
      <c r="AI16" s="13" t="inlineStr">
        <is>
          <t>NA</t>
        </is>
      </c>
      <c r="AJ16" s="13" t="inlineStr">
        <is>
          <t>NA</t>
        </is>
      </c>
      <c r="AK16" s="13" t="inlineStr">
        <is>
          <t>NA</t>
        </is>
      </c>
      <c r="AL16" s="13" t="inlineStr">
        <is>
          <t>NA</t>
        </is>
      </c>
      <c r="AM16" s="13" t="inlineStr">
        <is>
          <t>NA</t>
        </is>
      </c>
      <c r="AN16" s="29" t="n">
        <v>1</v>
      </c>
      <c r="AO16" s="107" t="n"/>
      <c r="AP16" s="77" t="inlineStr">
        <is>
          <t>http://10.239.81.58/Xeon/NTA/PCIE/xfusion/unit2-dbgsz11/pxp11.port0_x16/SMV/</t>
        </is>
      </c>
      <c r="AQ16" s="57" t="n"/>
    </row>
    <row r="17" ht="15" customHeight="1">
      <c r="A17" s="107" t="n">
        <v>16</v>
      </c>
      <c r="B17" s="107" t="inlineStr">
        <is>
          <t>1S1</t>
        </is>
      </c>
      <c r="C17" s="107" t="n">
        <v>0</v>
      </c>
      <c r="D17" s="107">
        <f>IF(C17=0,1,2)</f>
        <v/>
      </c>
      <c r="E17" s="107" t="inlineStr">
        <is>
          <t>dbgsz11</t>
        </is>
      </c>
      <c r="F17" s="107" t="inlineStr">
        <is>
          <t>xFusion #2</t>
        </is>
      </c>
      <c r="G17" s="107" t="inlineStr">
        <is>
          <t>02YACYLHS3000001</t>
        </is>
      </c>
      <c r="H17" s="107" t="inlineStr">
        <is>
          <t>02YABSXFR90008</t>
        </is>
      </c>
      <c r="I17" s="107" t="inlineStr">
        <is>
          <t>ES1/Q9WK</t>
        </is>
      </c>
      <c r="J17" s="107" t="inlineStr">
        <is>
          <t>5795964AD7886700</t>
        </is>
      </c>
      <c r="K17" s="107" t="n"/>
      <c r="L17" s="107" t="inlineStr">
        <is>
          <t>Samsung</t>
        </is>
      </c>
      <c r="M17" s="107" t="inlineStr">
        <is>
          <t>Rambus</t>
        </is>
      </c>
      <c r="N17" s="39" t="inlineStr">
        <is>
          <t>M321R4GA3PB1-CCPYC</t>
        </is>
      </c>
      <c r="O17" s="107" t="inlineStr">
        <is>
          <t>RE32</t>
        </is>
      </c>
      <c r="P17" s="39" t="inlineStr">
        <is>
          <t>1DPC 6400(16)</t>
        </is>
      </c>
      <c r="Q17" s="107" t="inlineStr">
        <is>
          <t>32.D91.2604210616</t>
        </is>
      </c>
      <c r="R17" s="107" t="inlineStr">
        <is>
          <t>MT2529J01M5T</t>
        </is>
      </c>
      <c r="S17" s="107" t="inlineStr">
        <is>
          <t>02YAVXFR90000008</t>
        </is>
      </c>
      <c r="T17" s="107" t="inlineStr">
        <is>
          <t>Gen6</t>
        </is>
      </c>
      <c r="U17" s="107" t="inlineStr">
        <is>
          <t>SMV_Margin</t>
        </is>
      </c>
      <c r="V17" s="107" t="inlineStr">
        <is>
          <t>x16</t>
        </is>
      </c>
      <c r="W17" s="107" t="inlineStr">
        <is>
          <t>CX8</t>
        </is>
      </c>
      <c r="X17" s="107" t="inlineStr">
        <is>
          <t>pxp12</t>
        </is>
      </c>
      <c r="Y17" s="63" t="n">
        <v>0</v>
      </c>
      <c r="Z17" s="105">
        <f>HYPERLINK("https://hsdes.intel.com/resource/15019305350", "15019305350")</f>
        <v/>
      </c>
      <c r="AA17" s="107" t="n">
        <v>3</v>
      </c>
      <c r="AB17" s="107" t="n">
        <v>3</v>
      </c>
      <c r="AC17" s="107" t="n">
        <v>3</v>
      </c>
      <c r="AD17" s="82">
        <f>ROUND((VALUE(LEFT(SMV_Margin!G9,SEARCH(":",SMV_Margin!G9)-1)) + VALUE(MID(SMV_Margin!G9,SEARCH(":",SMV_Margin!G9)+1,2))/60 + VALUE(RIGHT(SMV_Margin!G9,2))/3600),2)</f>
        <v/>
      </c>
      <c r="AE17" s="13" t="inlineStr">
        <is>
          <t>PASS</t>
        </is>
      </c>
      <c r="AF17" s="13" t="inlineStr">
        <is>
          <t>NA</t>
        </is>
      </c>
      <c r="AG17" s="13" t="inlineStr">
        <is>
          <t>NA</t>
        </is>
      </c>
      <c r="AH17" s="13" t="inlineStr">
        <is>
          <t>NA</t>
        </is>
      </c>
      <c r="AI17" s="13" t="inlineStr">
        <is>
          <t>NA</t>
        </is>
      </c>
      <c r="AJ17" s="13" t="inlineStr">
        <is>
          <t>NA</t>
        </is>
      </c>
      <c r="AK17" s="13" t="inlineStr">
        <is>
          <t>NA</t>
        </is>
      </c>
      <c r="AL17" s="13" t="inlineStr">
        <is>
          <t>NA</t>
        </is>
      </c>
      <c r="AM17" s="13" t="inlineStr">
        <is>
          <t>NA</t>
        </is>
      </c>
      <c r="AN17" s="29" t="n">
        <v>1</v>
      </c>
      <c r="AO17" s="107" t="n"/>
      <c r="AP17" s="77" t="inlineStr">
        <is>
          <t>http://10.239.81.58/Xeon/NTA/PCIE/xfusion/unit2-dbgsz11/pxp12.port0_x16/SMV/</t>
        </is>
      </c>
      <c r="AQ17" s="57" t="n"/>
    </row>
    <row r="18" ht="15" customHeight="1">
      <c r="A18" s="107" t="n">
        <v>17</v>
      </c>
      <c r="B18" s="107" t="inlineStr">
        <is>
          <t>2L1</t>
        </is>
      </c>
      <c r="C18" s="107" t="n">
        <v>0</v>
      </c>
      <c r="D18" s="107">
        <f>IF(C18=0,1,2)</f>
        <v/>
      </c>
      <c r="E18" s="107" t="inlineStr">
        <is>
          <t>dbgsz11</t>
        </is>
      </c>
      <c r="F18" s="107" t="inlineStr">
        <is>
          <t>xFusion #2</t>
        </is>
      </c>
      <c r="G18" s="107" t="inlineStr">
        <is>
          <t>02YACYLHS3000001</t>
        </is>
      </c>
      <c r="H18" s="107" t="inlineStr">
        <is>
          <t>02YABSXFR90008</t>
        </is>
      </c>
      <c r="I18" s="107" t="inlineStr">
        <is>
          <t>ES1/Q9WK</t>
        </is>
      </c>
      <c r="J18" s="107" t="inlineStr">
        <is>
          <t>5795964AD7886700</t>
        </is>
      </c>
      <c r="K18" s="107" t="n"/>
      <c r="L18" s="107" t="inlineStr">
        <is>
          <t>Samsung</t>
        </is>
      </c>
      <c r="M18" s="107" t="inlineStr">
        <is>
          <t>Rambus</t>
        </is>
      </c>
      <c r="N18" s="39" t="inlineStr">
        <is>
          <t>M321R4GA3PB1-CCPYC</t>
        </is>
      </c>
      <c r="O18" s="107" t="inlineStr">
        <is>
          <t>RE32</t>
        </is>
      </c>
      <c r="P18" s="39" t="inlineStr">
        <is>
          <t>1DPC 6400(16)</t>
        </is>
      </c>
      <c r="Q18" s="107" t="inlineStr">
        <is>
          <t>32.D91.2604210616</t>
        </is>
      </c>
      <c r="R18" s="107" t="inlineStr">
        <is>
          <t>MT2529J01M5T</t>
        </is>
      </c>
      <c r="S18" s="107" t="inlineStr">
        <is>
          <t>02YAVXFS2000010</t>
        </is>
      </c>
      <c r="T18" s="107" t="inlineStr">
        <is>
          <t>Gen5</t>
        </is>
      </c>
      <c r="U18" s="107" t="inlineStr">
        <is>
          <t>LTSSM</t>
        </is>
      </c>
      <c r="V18" s="107" t="inlineStr">
        <is>
          <t>x8x8</t>
        </is>
      </c>
      <c r="W18" s="107" t="inlineStr">
        <is>
          <t>CX8</t>
        </is>
      </c>
      <c r="X18" s="107" t="inlineStr">
        <is>
          <t>pxp1</t>
        </is>
      </c>
      <c r="Y18" s="63" t="n">
        <v>0</v>
      </c>
      <c r="Z18" s="105" t="n">
        <v>15019294571</v>
      </c>
      <c r="AA18" s="107" t="n">
        <v>1000</v>
      </c>
      <c r="AB18" s="107" t="inlineStr">
        <is>
          <t>NA</t>
        </is>
      </c>
      <c r="AC18" s="107" t="inlineStr">
        <is>
          <t>NA</t>
        </is>
      </c>
      <c r="AD18" s="82">
        <f>SUM(LTSSM_Stress!J66:J73)/60</f>
        <v/>
      </c>
      <c r="AE18" s="13" t="inlineStr">
        <is>
          <t>PASS</t>
        </is>
      </c>
      <c r="AF18" s="13" t="inlineStr">
        <is>
          <t>PASS</t>
        </is>
      </c>
      <c r="AG18" s="13" t="inlineStr">
        <is>
          <t>PASS</t>
        </is>
      </c>
      <c r="AH18" s="13" t="inlineStr">
        <is>
          <t>PASS</t>
        </is>
      </c>
      <c r="AI18" s="13" t="inlineStr">
        <is>
          <t>PASS</t>
        </is>
      </c>
      <c r="AJ18" s="13" t="inlineStr">
        <is>
          <t>PASS</t>
        </is>
      </c>
      <c r="AK18" s="13" t="inlineStr">
        <is>
          <t>PASS</t>
        </is>
      </c>
      <c r="AL18" s="13" t="inlineStr">
        <is>
          <t>PASS</t>
        </is>
      </c>
      <c r="AM18" s="13" t="inlineStr">
        <is>
          <t>PASS</t>
        </is>
      </c>
      <c r="AN18" s="29" t="n">
        <v>1</v>
      </c>
      <c r="AO18" s="107" t="n"/>
      <c r="AP18" s="77" t="inlineStr">
        <is>
          <t>http://10.239.81.58/Xeon/NTA/PCIE/xfusion/unit2-dbgsz11/pxp1.port0_x8/LTSSM/</t>
        </is>
      </c>
      <c r="AQ18" s="57" t="n"/>
    </row>
    <row r="19" ht="15" customHeight="1">
      <c r="A19" s="107" t="n">
        <v>18</v>
      </c>
      <c r="B19" s="107" t="inlineStr">
        <is>
          <t>2L1</t>
        </is>
      </c>
      <c r="C19" s="107" t="n">
        <v>0</v>
      </c>
      <c r="D19" s="107">
        <f>IF(C19=0,1,2)</f>
        <v/>
      </c>
      <c r="E19" s="107" t="inlineStr">
        <is>
          <t>dbgsz11</t>
        </is>
      </c>
      <c r="F19" s="107" t="inlineStr">
        <is>
          <t>xFusion #2</t>
        </is>
      </c>
      <c r="G19" s="107" t="inlineStr">
        <is>
          <t>02YACYLHS3000001</t>
        </is>
      </c>
      <c r="H19" s="107" t="inlineStr">
        <is>
          <t>02YABSXFR90008</t>
        </is>
      </c>
      <c r="I19" s="107" t="inlineStr">
        <is>
          <t>ES1/Q9WK</t>
        </is>
      </c>
      <c r="J19" s="107" t="inlineStr">
        <is>
          <t>5795964AD7886700</t>
        </is>
      </c>
      <c r="K19" s="107" t="n"/>
      <c r="L19" s="107" t="inlineStr">
        <is>
          <t>Samsung</t>
        </is>
      </c>
      <c r="M19" s="107" t="inlineStr">
        <is>
          <t>Rambus</t>
        </is>
      </c>
      <c r="N19" s="39" t="inlineStr">
        <is>
          <t>M321R4GA3PB1-CCPYC</t>
        </is>
      </c>
      <c r="O19" s="107" t="inlineStr">
        <is>
          <t>RE32</t>
        </is>
      </c>
      <c r="P19" s="39" t="inlineStr">
        <is>
          <t>1DPC 6400(16)</t>
        </is>
      </c>
      <c r="Q19" s="107" t="inlineStr">
        <is>
          <t>32.D91.2604210616</t>
        </is>
      </c>
      <c r="R19" s="107" t="inlineStr">
        <is>
          <t>MT2529J01M5T</t>
        </is>
      </c>
      <c r="S19" s="107" t="inlineStr">
        <is>
          <t>02YAVXFS2000010</t>
        </is>
      </c>
      <c r="T19" s="107" t="inlineStr">
        <is>
          <t>Gen5</t>
        </is>
      </c>
      <c r="U19" s="107" t="inlineStr">
        <is>
          <t>LTSSM</t>
        </is>
      </c>
      <c r="V19" s="107" t="inlineStr">
        <is>
          <t>x8x8</t>
        </is>
      </c>
      <c r="W19" s="107" t="inlineStr">
        <is>
          <t>CX8</t>
        </is>
      </c>
      <c r="X19" s="107" t="inlineStr">
        <is>
          <t>pxp1</t>
        </is>
      </c>
      <c r="Y19" s="63" t="n">
        <v>4</v>
      </c>
      <c r="Z19" s="105" t="n">
        <v>15019302203</v>
      </c>
      <c r="AA19" s="107" t="n">
        <v>1000</v>
      </c>
      <c r="AB19" s="107" t="inlineStr">
        <is>
          <t>NA</t>
        </is>
      </c>
      <c r="AC19" s="107" t="inlineStr">
        <is>
          <t>NA</t>
        </is>
      </c>
      <c r="AD19" s="82">
        <f>SUM(LTSSM_Stress!J74:J81)/60</f>
        <v/>
      </c>
      <c r="AE19" s="13" t="inlineStr">
        <is>
          <t>PASS</t>
        </is>
      </c>
      <c r="AF19" s="13" t="inlineStr">
        <is>
          <t>PASS</t>
        </is>
      </c>
      <c r="AG19" s="13" t="inlineStr">
        <is>
          <t>PASS</t>
        </is>
      </c>
      <c r="AH19" s="13" t="inlineStr">
        <is>
          <t>PASS</t>
        </is>
      </c>
      <c r="AI19" s="13" t="inlineStr">
        <is>
          <t>PASS</t>
        </is>
      </c>
      <c r="AJ19" s="13" t="inlineStr">
        <is>
          <t>PASS</t>
        </is>
      </c>
      <c r="AK19" s="13" t="inlineStr">
        <is>
          <t>PASS</t>
        </is>
      </c>
      <c r="AL19" s="13" t="inlineStr">
        <is>
          <t>PASS</t>
        </is>
      </c>
      <c r="AM19" s="13" t="inlineStr">
        <is>
          <t>PASS</t>
        </is>
      </c>
      <c r="AN19" s="29" t="n">
        <v>1</v>
      </c>
      <c r="AO19" s="107" t="n"/>
      <c r="AP19" s="77" t="inlineStr">
        <is>
          <t>http://10.239.81.58/Xeon/NTA/PCIE/xfusion/unit2-dbgsz11/pxp1.port4_x8/LTSSM/</t>
        </is>
      </c>
      <c r="AQ19" s="57" t="n"/>
    </row>
    <row r="20" ht="15" customHeight="1">
      <c r="A20" s="107" t="n">
        <v>19</v>
      </c>
      <c r="B20" s="107" t="inlineStr">
        <is>
          <t>2L1</t>
        </is>
      </c>
      <c r="C20" s="107" t="n">
        <v>0</v>
      </c>
      <c r="D20" s="107">
        <f>IF(C20=0,1,2)</f>
        <v/>
      </c>
      <c r="E20" s="107" t="inlineStr">
        <is>
          <t>dbgsz11</t>
        </is>
      </c>
      <c r="F20" s="107" t="inlineStr">
        <is>
          <t>xFusion #2</t>
        </is>
      </c>
      <c r="G20" s="107" t="inlineStr">
        <is>
          <t>02YACYLHS3000001</t>
        </is>
      </c>
      <c r="H20" s="107" t="inlineStr">
        <is>
          <t>02YABSXFR90008</t>
        </is>
      </c>
      <c r="I20" s="107" t="inlineStr">
        <is>
          <t>ES1/Q9WK</t>
        </is>
      </c>
      <c r="J20" s="107" t="inlineStr">
        <is>
          <t>5795964AD7886700</t>
        </is>
      </c>
      <c r="K20" s="107" t="n"/>
      <c r="L20" s="107" t="inlineStr">
        <is>
          <t>Samsung</t>
        </is>
      </c>
      <c r="M20" s="107" t="inlineStr">
        <is>
          <t>Rambus</t>
        </is>
      </c>
      <c r="N20" s="39" t="inlineStr">
        <is>
          <t>M321R4GA3PB1-CCPYC</t>
        </is>
      </c>
      <c r="O20" s="107" t="inlineStr">
        <is>
          <t>RE32</t>
        </is>
      </c>
      <c r="P20" s="39" t="inlineStr">
        <is>
          <t>1DPC 6400(16)</t>
        </is>
      </c>
      <c r="Q20" s="107" t="inlineStr">
        <is>
          <t>32.D91.2604210616</t>
        </is>
      </c>
      <c r="R20" s="107" t="inlineStr">
        <is>
          <t>MT2529J01M5T</t>
        </is>
      </c>
      <c r="S20" s="107" t="inlineStr">
        <is>
          <t>02YAVXFS2000010/02YAVXFR90000008</t>
        </is>
      </c>
      <c r="T20" s="107" t="inlineStr">
        <is>
          <t>Gen5</t>
        </is>
      </c>
      <c r="U20" s="107" t="inlineStr">
        <is>
          <t>LTSSM</t>
        </is>
      </c>
      <c r="V20" s="107" t="inlineStr">
        <is>
          <t>x16</t>
        </is>
      </c>
      <c r="W20" s="107" t="inlineStr">
        <is>
          <t>CX8</t>
        </is>
      </c>
      <c r="X20" s="107" t="inlineStr">
        <is>
          <t>pxp3</t>
        </is>
      </c>
      <c r="Y20" s="63" t="n">
        <v>0</v>
      </c>
      <c r="Z20" s="105">
        <f>HYPERLINK("https://hsdes.intel.com/resource/15019302280", "15019302280")</f>
        <v/>
      </c>
      <c r="AA20" s="107" t="n">
        <v>1000</v>
      </c>
      <c r="AB20" s="107" t="inlineStr">
        <is>
          <t>NA</t>
        </is>
      </c>
      <c r="AC20" s="107" t="inlineStr">
        <is>
          <t>NA</t>
        </is>
      </c>
      <c r="AD20" s="82">
        <f>SUM(LTSSM_Stress!J82:J89)/60</f>
        <v/>
      </c>
      <c r="AE20" s="13" t="inlineStr">
        <is>
          <t>PASS</t>
        </is>
      </c>
      <c r="AF20" s="13" t="inlineStr">
        <is>
          <t>PASS</t>
        </is>
      </c>
      <c r="AG20" s="13" t="inlineStr">
        <is>
          <t>PASS</t>
        </is>
      </c>
      <c r="AH20" s="13" t="inlineStr">
        <is>
          <t>PASS</t>
        </is>
      </c>
      <c r="AI20" s="13" t="inlineStr">
        <is>
          <t>PASS</t>
        </is>
      </c>
      <c r="AJ20" s="13" t="inlineStr">
        <is>
          <t>PASS</t>
        </is>
      </c>
      <c r="AK20" s="13" t="inlineStr">
        <is>
          <t>PASS</t>
        </is>
      </c>
      <c r="AL20" s="13" t="inlineStr">
        <is>
          <t>PASS</t>
        </is>
      </c>
      <c r="AM20" s="13" t="inlineStr">
        <is>
          <t>PASS</t>
        </is>
      </c>
      <c r="AN20" s="29" t="n">
        <v>1</v>
      </c>
      <c r="AO20" s="107" t="n"/>
      <c r="AP20" s="77" t="inlineStr">
        <is>
          <t>http://10.239.81.58/Xeon/NTA/PCIE/xfusion/unit2-dbgsz11/pxp3.port0_x16/LTSSM/</t>
        </is>
      </c>
      <c r="AQ20" s="59" t="inlineStr">
        <is>
          <t>LTSSM use 02YAVXFS2000010
SMV margin use 02YAVXFR90000008</t>
        </is>
      </c>
    </row>
    <row r="21" ht="15" customHeight="1">
      <c r="A21" s="107" t="n">
        <v>20</v>
      </c>
      <c r="B21" s="107" t="inlineStr">
        <is>
          <t>2L1</t>
        </is>
      </c>
      <c r="C21" s="107" t="n">
        <v>0</v>
      </c>
      <c r="D21" s="107">
        <f>IF(C21=0,1,2)</f>
        <v/>
      </c>
      <c r="E21" s="107" t="inlineStr">
        <is>
          <t>dbgsz11</t>
        </is>
      </c>
      <c r="F21" s="107" t="inlineStr">
        <is>
          <t>xFusion #2</t>
        </is>
      </c>
      <c r="G21" s="107" t="inlineStr">
        <is>
          <t>02YACYLHS3000001</t>
        </is>
      </c>
      <c r="H21" s="107" t="inlineStr">
        <is>
          <t>02YABSXFR90008</t>
        </is>
      </c>
      <c r="I21" s="107" t="inlineStr">
        <is>
          <t>ES1/Q9WK</t>
        </is>
      </c>
      <c r="J21" s="107" t="inlineStr">
        <is>
          <t>5795964AD7886700</t>
        </is>
      </c>
      <c r="K21" s="107" t="n"/>
      <c r="L21" s="107" t="inlineStr">
        <is>
          <t>Samsung</t>
        </is>
      </c>
      <c r="M21" s="107" t="inlineStr">
        <is>
          <t>Rambus</t>
        </is>
      </c>
      <c r="N21" s="39" t="inlineStr">
        <is>
          <t>M321R4GA3PB1-CCPYC</t>
        </is>
      </c>
      <c r="O21" s="107" t="inlineStr">
        <is>
          <t>RE32</t>
        </is>
      </c>
      <c r="P21" s="39" t="inlineStr">
        <is>
          <t>1DPC 6400(16)</t>
        </is>
      </c>
      <c r="Q21" s="107" t="inlineStr">
        <is>
          <t>32.D91.2604210616</t>
        </is>
      </c>
      <c r="R21" s="107" t="inlineStr">
        <is>
          <t>MT2529J01M5T</t>
        </is>
      </c>
      <c r="S21" s="107" t="inlineStr">
        <is>
          <t>02YAVXFS2000010</t>
        </is>
      </c>
      <c r="T21" s="107" t="inlineStr">
        <is>
          <t>Gen5</t>
        </is>
      </c>
      <c r="U21" s="107" t="inlineStr">
        <is>
          <t>LTSSM</t>
        </is>
      </c>
      <c r="V21" s="107" t="inlineStr">
        <is>
          <t>x8x8</t>
        </is>
      </c>
      <c r="W21" s="107" t="inlineStr">
        <is>
          <t>CX8</t>
        </is>
      </c>
      <c r="X21" s="107" t="inlineStr">
        <is>
          <t>pxp4</t>
        </is>
      </c>
      <c r="Y21" s="63" t="n">
        <v>0</v>
      </c>
      <c r="Z21" s="105">
        <f>HYPERLINK("https://hsdes.intel.com/resource/15019304779", "15019304779")</f>
        <v/>
      </c>
      <c r="AA21" s="107" t="n">
        <v>1000</v>
      </c>
      <c r="AB21" s="107" t="inlineStr">
        <is>
          <t>NA</t>
        </is>
      </c>
      <c r="AC21" s="107" t="inlineStr">
        <is>
          <t>NA</t>
        </is>
      </c>
      <c r="AD21" s="82">
        <f>SUM(LTSSM_Stress!J90:J97)/60</f>
        <v/>
      </c>
      <c r="AE21" s="13" t="inlineStr">
        <is>
          <t>PASS</t>
        </is>
      </c>
      <c r="AF21" s="13" t="inlineStr">
        <is>
          <t>PASS</t>
        </is>
      </c>
      <c r="AG21" s="13" t="inlineStr">
        <is>
          <t>PASS</t>
        </is>
      </c>
      <c r="AH21" s="13" t="inlineStr">
        <is>
          <t>PASS</t>
        </is>
      </c>
      <c r="AI21" s="13" t="inlineStr">
        <is>
          <t>PASS</t>
        </is>
      </c>
      <c r="AJ21" s="13" t="inlineStr">
        <is>
          <t>PASS</t>
        </is>
      </c>
      <c r="AK21" s="13" t="inlineStr">
        <is>
          <t>PASS</t>
        </is>
      </c>
      <c r="AL21" s="13" t="inlineStr">
        <is>
          <t>PASS</t>
        </is>
      </c>
      <c r="AM21" s="13" t="inlineStr">
        <is>
          <t>PASS</t>
        </is>
      </c>
      <c r="AN21" s="29" t="n">
        <v>1</v>
      </c>
      <c r="AO21" s="107" t="n"/>
      <c r="AP21" s="78" t="inlineStr">
        <is>
          <t>http://10.239.81.58/Xeon/NTA/PCIE/xfusion/unit2-dbgsz11/pxp4.port0_x8/LTSSM/</t>
        </is>
      </c>
      <c r="AQ21" s="57" t="n"/>
    </row>
    <row r="22" ht="15" customHeight="1">
      <c r="A22" s="107" t="n">
        <v>21</v>
      </c>
      <c r="B22" s="107" t="inlineStr">
        <is>
          <t>2L1</t>
        </is>
      </c>
      <c r="C22" s="107" t="n">
        <v>0</v>
      </c>
      <c r="D22" s="107">
        <f>IF(C22=0,1,2)</f>
        <v/>
      </c>
      <c r="E22" s="107" t="inlineStr">
        <is>
          <t>dbgsz11</t>
        </is>
      </c>
      <c r="F22" s="107" t="inlineStr">
        <is>
          <t>xFusion #2</t>
        </is>
      </c>
      <c r="G22" s="107" t="inlineStr">
        <is>
          <t>02YACYLHS3000001</t>
        </is>
      </c>
      <c r="H22" s="107" t="inlineStr">
        <is>
          <t>02YABSXFR90008</t>
        </is>
      </c>
      <c r="I22" s="107" t="inlineStr">
        <is>
          <t>ES1/Q9WK</t>
        </is>
      </c>
      <c r="J22" s="107" t="inlineStr">
        <is>
          <t>5795964AD7886700</t>
        </is>
      </c>
      <c r="K22" s="107" t="n"/>
      <c r="L22" s="107" t="inlineStr">
        <is>
          <t>Samsung</t>
        </is>
      </c>
      <c r="M22" s="107" t="inlineStr">
        <is>
          <t>Rambus</t>
        </is>
      </c>
      <c r="N22" s="39" t="inlineStr">
        <is>
          <t>M321R4GA3PB1-CCPYC</t>
        </is>
      </c>
      <c r="O22" s="107" t="inlineStr">
        <is>
          <t>RE32</t>
        </is>
      </c>
      <c r="P22" s="39" t="inlineStr">
        <is>
          <t>1DPC 6400(16)</t>
        </is>
      </c>
      <c r="Q22" s="107" t="inlineStr">
        <is>
          <t>32.D91.2604210616</t>
        </is>
      </c>
      <c r="R22" s="107" t="inlineStr">
        <is>
          <t>MT2529J01M5T</t>
        </is>
      </c>
      <c r="S22" s="107" t="inlineStr">
        <is>
          <t>02YAVXFS2000010</t>
        </is>
      </c>
      <c r="T22" s="107" t="inlineStr">
        <is>
          <t>Gen5</t>
        </is>
      </c>
      <c r="U22" s="107" t="inlineStr">
        <is>
          <t>LTSSM</t>
        </is>
      </c>
      <c r="V22" s="107" t="inlineStr">
        <is>
          <t>x8x8</t>
        </is>
      </c>
      <c r="W22" s="107" t="inlineStr">
        <is>
          <t>CX8</t>
        </is>
      </c>
      <c r="X22" s="107" t="inlineStr">
        <is>
          <t>pxp4</t>
        </is>
      </c>
      <c r="Y22" s="63" t="n">
        <v>4</v>
      </c>
      <c r="Z22" s="105">
        <f>HYPERLINK("https://hsdes.intel.com/resource/15019305686", "15019305686")</f>
        <v/>
      </c>
      <c r="AA22" s="107" t="n">
        <v>1000</v>
      </c>
      <c r="AB22" s="107" t="inlineStr">
        <is>
          <t>NA</t>
        </is>
      </c>
      <c r="AC22" s="107" t="inlineStr">
        <is>
          <t>NA</t>
        </is>
      </c>
      <c r="AD22" s="82">
        <f>SUM(LTSSM_Stress!J98:J105)/60</f>
        <v/>
      </c>
      <c r="AE22" s="13" t="inlineStr">
        <is>
          <t>PASS</t>
        </is>
      </c>
      <c r="AF22" s="13" t="inlineStr">
        <is>
          <t>PASS</t>
        </is>
      </c>
      <c r="AG22" s="13" t="inlineStr">
        <is>
          <t>PASS</t>
        </is>
      </c>
      <c r="AH22" s="13" t="inlineStr">
        <is>
          <t>PASS</t>
        </is>
      </c>
      <c r="AI22" s="13" t="inlineStr">
        <is>
          <t>PASS</t>
        </is>
      </c>
      <c r="AJ22" s="13" t="inlineStr">
        <is>
          <t>PASS</t>
        </is>
      </c>
      <c r="AK22" s="13" t="inlineStr">
        <is>
          <t>PASS</t>
        </is>
      </c>
      <c r="AL22" s="13" t="inlineStr">
        <is>
          <t>PASS</t>
        </is>
      </c>
      <c r="AM22" s="13" t="inlineStr">
        <is>
          <t>PASS</t>
        </is>
      </c>
      <c r="AN22" s="29" t="n">
        <v>1</v>
      </c>
      <c r="AO22" s="107" t="n"/>
      <c r="AP22" s="77" t="inlineStr">
        <is>
          <t>http://10.239.81.58/Xeon/NTA/PCIE/xfusion/unit2-dbgsz11/pxp4.port4_x8/LTSSM/</t>
        </is>
      </c>
      <c r="AQ22" s="57" t="n"/>
    </row>
    <row r="23" ht="15" customHeight="1">
      <c r="A23" s="107" t="n">
        <v>22</v>
      </c>
      <c r="B23" s="107" t="inlineStr">
        <is>
          <t>2L1</t>
        </is>
      </c>
      <c r="C23" s="107" t="n">
        <v>0</v>
      </c>
      <c r="D23" s="107">
        <f>IF(C23=0,1,2)</f>
        <v/>
      </c>
      <c r="E23" s="107" t="inlineStr">
        <is>
          <t>dbgsz11</t>
        </is>
      </c>
      <c r="F23" s="107" t="inlineStr">
        <is>
          <t>xFusion #2</t>
        </is>
      </c>
      <c r="G23" s="107" t="inlineStr">
        <is>
          <t>02YACYLHS3000001</t>
        </is>
      </c>
      <c r="H23" s="107" t="inlineStr">
        <is>
          <t>02YABSXFR90008</t>
        </is>
      </c>
      <c r="I23" s="107" t="inlineStr">
        <is>
          <t>ES1/Q9WK</t>
        </is>
      </c>
      <c r="J23" s="107" t="inlineStr">
        <is>
          <t>5795964AD7886700</t>
        </is>
      </c>
      <c r="K23" s="107" t="n"/>
      <c r="L23" s="107" t="inlineStr">
        <is>
          <t>Samsung</t>
        </is>
      </c>
      <c r="M23" s="107" t="inlineStr">
        <is>
          <t>Rambus</t>
        </is>
      </c>
      <c r="N23" s="39" t="inlineStr">
        <is>
          <t>M321R4GA3PB1-CCPYC</t>
        </is>
      </c>
      <c r="O23" s="107" t="inlineStr">
        <is>
          <t>RE32</t>
        </is>
      </c>
      <c r="P23" s="39" t="inlineStr">
        <is>
          <t>1DPC 6400(16)</t>
        </is>
      </c>
      <c r="Q23" s="107" t="inlineStr">
        <is>
          <t>32.D91.2604210616</t>
        </is>
      </c>
      <c r="R23" s="107" t="inlineStr">
        <is>
          <t>MT2529J01M5T</t>
        </is>
      </c>
      <c r="S23" s="107" t="inlineStr">
        <is>
          <t>02YAVXFR90000008</t>
        </is>
      </c>
      <c r="T23" s="107" t="inlineStr">
        <is>
          <t>Gen5</t>
        </is>
      </c>
      <c r="U23" s="107" t="inlineStr">
        <is>
          <t>LTSSM</t>
        </is>
      </c>
      <c r="V23" s="107" t="inlineStr">
        <is>
          <t>x16</t>
        </is>
      </c>
      <c r="W23" s="107" t="inlineStr">
        <is>
          <t>CX8</t>
        </is>
      </c>
      <c r="X23" s="107" t="inlineStr">
        <is>
          <t>pxp9</t>
        </is>
      </c>
      <c r="Y23" s="63" t="n">
        <v>0</v>
      </c>
      <c r="Z23" s="105">
        <f>HYPERLINK("https://hsdes.intel.com/resource/15019305364", "15019305364")</f>
        <v/>
      </c>
      <c r="AA23" s="107" t="n">
        <v>1000</v>
      </c>
      <c r="AB23" s="107" t="inlineStr">
        <is>
          <t>NA</t>
        </is>
      </c>
      <c r="AC23" s="107" t="inlineStr">
        <is>
          <t>NA</t>
        </is>
      </c>
      <c r="AD23" s="82">
        <f>SUM(LTSSM_Stress!J106:J113)/60</f>
        <v/>
      </c>
      <c r="AE23" s="13" t="inlineStr">
        <is>
          <t>PASS</t>
        </is>
      </c>
      <c r="AF23" s="13" t="inlineStr">
        <is>
          <t>PASS</t>
        </is>
      </c>
      <c r="AG23" s="13" t="inlineStr">
        <is>
          <t>PASS</t>
        </is>
      </c>
      <c r="AH23" s="13" t="inlineStr">
        <is>
          <t>PASS</t>
        </is>
      </c>
      <c r="AI23" s="13" t="inlineStr">
        <is>
          <t>PASS</t>
        </is>
      </c>
      <c r="AJ23" s="13" t="inlineStr">
        <is>
          <t>PASS</t>
        </is>
      </c>
      <c r="AK23" s="13" t="inlineStr">
        <is>
          <t>PASS</t>
        </is>
      </c>
      <c r="AL23" s="13" t="inlineStr">
        <is>
          <t>PASS</t>
        </is>
      </c>
      <c r="AM23" s="13" t="inlineStr">
        <is>
          <t>PASS</t>
        </is>
      </c>
      <c r="AN23" s="29" t="n">
        <v>1</v>
      </c>
      <c r="AO23" s="107" t="n"/>
      <c r="AP23" s="77" t="inlineStr">
        <is>
          <t>http://10.239.81.58/Xeon/NTA/PCIE/xfusion/unit2-dbgsz11/pxp9.port0_x16/LTSSM/</t>
        </is>
      </c>
      <c r="AQ23" s="57" t="n"/>
    </row>
    <row r="24" ht="15" customHeight="1">
      <c r="A24" s="107" t="n">
        <v>23</v>
      </c>
      <c r="B24" s="107" t="inlineStr">
        <is>
          <t>2L1</t>
        </is>
      </c>
      <c r="C24" s="107" t="n">
        <v>0</v>
      </c>
      <c r="D24" s="107">
        <f>IF(C24=0,1,2)</f>
        <v/>
      </c>
      <c r="E24" s="107" t="inlineStr">
        <is>
          <t>dbgsz11</t>
        </is>
      </c>
      <c r="F24" s="107" t="inlineStr">
        <is>
          <t>xFusion #2</t>
        </is>
      </c>
      <c r="G24" s="107" t="inlineStr">
        <is>
          <t>02YACYLHS3000001</t>
        </is>
      </c>
      <c r="H24" s="107" t="inlineStr">
        <is>
          <t>02YABSXFR90008</t>
        </is>
      </c>
      <c r="I24" s="107" t="inlineStr">
        <is>
          <t>ES1/Q9WK</t>
        </is>
      </c>
      <c r="J24" s="107" t="inlineStr">
        <is>
          <t>5795964AD7886700</t>
        </is>
      </c>
      <c r="K24" s="107" t="n"/>
      <c r="L24" s="107" t="inlineStr">
        <is>
          <t>Samsung</t>
        </is>
      </c>
      <c r="M24" s="107" t="inlineStr">
        <is>
          <t>Rambus</t>
        </is>
      </c>
      <c r="N24" s="39" t="inlineStr">
        <is>
          <t>M321R4GA3PB1-CCPYC</t>
        </is>
      </c>
      <c r="O24" s="107" t="inlineStr">
        <is>
          <t>RE32</t>
        </is>
      </c>
      <c r="P24" s="39" t="inlineStr">
        <is>
          <t>1DPC 6400(16)</t>
        </is>
      </c>
      <c r="Q24" s="107" t="inlineStr">
        <is>
          <t>32.D91.2604210616</t>
        </is>
      </c>
      <c r="R24" s="107" t="inlineStr">
        <is>
          <t>MT2529J01M5T</t>
        </is>
      </c>
      <c r="S24" s="107" t="inlineStr">
        <is>
          <t>02YAVXFR90000008</t>
        </is>
      </c>
      <c r="T24" s="107" t="inlineStr">
        <is>
          <t>Gen5</t>
        </is>
      </c>
      <c r="U24" s="107" t="inlineStr">
        <is>
          <t>LTSSM</t>
        </is>
      </c>
      <c r="V24" s="107" t="inlineStr">
        <is>
          <t>x16</t>
        </is>
      </c>
      <c r="W24" s="107" t="inlineStr">
        <is>
          <t>CX8</t>
        </is>
      </c>
      <c r="X24" s="107" t="inlineStr">
        <is>
          <t>pxp11</t>
        </is>
      </c>
      <c r="Y24" s="63" t="n">
        <v>0</v>
      </c>
      <c r="Z24" s="105">
        <f>HYPERLINK("https://hsdes.intel.com/resource/15019305354", "15019305354")</f>
        <v/>
      </c>
      <c r="AA24" s="107" t="n">
        <v>1000</v>
      </c>
      <c r="AB24" s="107" t="inlineStr">
        <is>
          <t>NA</t>
        </is>
      </c>
      <c r="AC24" s="107" t="inlineStr">
        <is>
          <t>NA</t>
        </is>
      </c>
      <c r="AD24" s="82">
        <f>SUM(LTSSM_Stress!J114:J121)/60</f>
        <v/>
      </c>
      <c r="AE24" s="13" t="inlineStr">
        <is>
          <t>PASS</t>
        </is>
      </c>
      <c r="AF24" s="13" t="inlineStr">
        <is>
          <t>PASS</t>
        </is>
      </c>
      <c r="AG24" s="13" t="inlineStr">
        <is>
          <t>PASS</t>
        </is>
      </c>
      <c r="AH24" s="13" t="inlineStr">
        <is>
          <t>PASS</t>
        </is>
      </c>
      <c r="AI24" s="13" t="inlineStr">
        <is>
          <t>PASS</t>
        </is>
      </c>
      <c r="AJ24" s="13" t="inlineStr">
        <is>
          <t>PASS</t>
        </is>
      </c>
      <c r="AK24" s="13" t="inlineStr">
        <is>
          <t>PASS</t>
        </is>
      </c>
      <c r="AL24" s="13" t="inlineStr">
        <is>
          <t>PASS</t>
        </is>
      </c>
      <c r="AM24" s="13" t="inlineStr">
        <is>
          <t>PASS</t>
        </is>
      </c>
      <c r="AN24" s="29" t="n">
        <v>1</v>
      </c>
      <c r="AO24" s="107" t="n"/>
      <c r="AP24" s="77" t="inlineStr">
        <is>
          <t>http://10.239.81.58/Xeon/NTA/PCIE/xfusion/unit2-dbgsz11/pxp11.port0_x16/LTSSM/</t>
        </is>
      </c>
      <c r="AQ24" s="57" t="n"/>
    </row>
    <row r="25" ht="15" customHeight="1">
      <c r="A25" s="107" t="n">
        <v>24</v>
      </c>
      <c r="B25" s="107" t="inlineStr">
        <is>
          <t>2L1</t>
        </is>
      </c>
      <c r="C25" s="107" t="n">
        <v>0</v>
      </c>
      <c r="D25" s="107">
        <f>IF(C25=0,1,2)</f>
        <v/>
      </c>
      <c r="E25" s="107" t="inlineStr">
        <is>
          <t>dbgsz11</t>
        </is>
      </c>
      <c r="F25" s="107" t="inlineStr">
        <is>
          <t>xFusion #2</t>
        </is>
      </c>
      <c r="G25" s="107" t="inlineStr">
        <is>
          <t>02YACYLHS3000001</t>
        </is>
      </c>
      <c r="H25" s="107" t="inlineStr">
        <is>
          <t>02YABSXFR90008</t>
        </is>
      </c>
      <c r="I25" s="107" t="inlineStr">
        <is>
          <t>ES1/Q9WK</t>
        </is>
      </c>
      <c r="J25" s="107" t="inlineStr">
        <is>
          <t>5795964AD7886700</t>
        </is>
      </c>
      <c r="K25" s="107" t="n"/>
      <c r="L25" s="107" t="inlineStr">
        <is>
          <t>Samsung</t>
        </is>
      </c>
      <c r="M25" s="107" t="inlineStr">
        <is>
          <t>Rambus</t>
        </is>
      </c>
      <c r="N25" s="39" t="inlineStr">
        <is>
          <t>M321R4GA3PB1-CCPYC</t>
        </is>
      </c>
      <c r="O25" s="107" t="inlineStr">
        <is>
          <t>RE32</t>
        </is>
      </c>
      <c r="P25" s="39" t="inlineStr">
        <is>
          <t>1DPC 6400(16)</t>
        </is>
      </c>
      <c r="Q25" s="107" t="inlineStr">
        <is>
          <t>32.D91.2604210616</t>
        </is>
      </c>
      <c r="R25" s="107" t="inlineStr">
        <is>
          <t>MT2529J01M5T</t>
        </is>
      </c>
      <c r="S25" s="107" t="inlineStr">
        <is>
          <t>02YAVXFR90000008</t>
        </is>
      </c>
      <c r="T25" s="107" t="inlineStr">
        <is>
          <t>Gen5</t>
        </is>
      </c>
      <c r="U25" s="107" t="inlineStr">
        <is>
          <t>LTSSM</t>
        </is>
      </c>
      <c r="V25" s="107" t="inlineStr">
        <is>
          <t>x16</t>
        </is>
      </c>
      <c r="W25" s="107" t="inlineStr">
        <is>
          <t>CX8</t>
        </is>
      </c>
      <c r="X25" s="107" t="inlineStr">
        <is>
          <t>pxp12</t>
        </is>
      </c>
      <c r="Y25" s="63" t="n">
        <v>0</v>
      </c>
      <c r="Z25" s="105">
        <f>HYPERLINK("https://hsdes.intel.com/resource/15019305349", "15019305349")</f>
        <v/>
      </c>
      <c r="AA25" s="107" t="n">
        <v>1000</v>
      </c>
      <c r="AB25" s="107" t="inlineStr">
        <is>
          <t>NA</t>
        </is>
      </c>
      <c r="AC25" s="107" t="inlineStr">
        <is>
          <t>NA</t>
        </is>
      </c>
      <c r="AD25" s="82">
        <f>SUM(LTSSM_Stress!J122:J129)/60</f>
        <v/>
      </c>
      <c r="AE25" s="13" t="inlineStr">
        <is>
          <t>PASS</t>
        </is>
      </c>
      <c r="AF25" s="13" t="inlineStr">
        <is>
          <t>PASS</t>
        </is>
      </c>
      <c r="AG25" s="13" t="inlineStr">
        <is>
          <t>PASS</t>
        </is>
      </c>
      <c r="AH25" s="13" t="inlineStr">
        <is>
          <t>PASS</t>
        </is>
      </c>
      <c r="AI25" s="13" t="inlineStr">
        <is>
          <t>PASS</t>
        </is>
      </c>
      <c r="AJ25" s="13" t="inlineStr">
        <is>
          <t>PASS</t>
        </is>
      </c>
      <c r="AK25" s="13" t="inlineStr">
        <is>
          <t>PASS</t>
        </is>
      </c>
      <c r="AL25" s="13" t="inlineStr">
        <is>
          <t>PASS</t>
        </is>
      </c>
      <c r="AM25" s="13" t="inlineStr">
        <is>
          <t>PASS</t>
        </is>
      </c>
      <c r="AN25" s="29" t="n">
        <v>1</v>
      </c>
      <c r="AO25" s="107" t="n"/>
      <c r="AP25" s="77" t="inlineStr">
        <is>
          <t>http://10.239.81.58/Xeon/NTA/PCIE/xfusion/unit2-dbgsz11/pxp12.port0_x16/LTSSM/</t>
        </is>
      </c>
      <c r="AQ25" s="26" t="n"/>
    </row>
    <row r="26" ht="15" customHeight="1">
      <c r="A26" s="107" t="n">
        <v>25</v>
      </c>
      <c r="B26" s="107" t="inlineStr">
        <is>
          <t>2S1</t>
        </is>
      </c>
      <c r="C26" s="107" t="n">
        <v>0</v>
      </c>
      <c r="D26" s="107">
        <f>IF(C26=0,1,2)</f>
        <v/>
      </c>
      <c r="E26" s="107" t="inlineStr">
        <is>
          <t>dbgsz11</t>
        </is>
      </c>
      <c r="F26" s="107" t="inlineStr">
        <is>
          <t>xFusion #2</t>
        </is>
      </c>
      <c r="G26" s="107" t="inlineStr">
        <is>
          <t>02YACYLHS3000001</t>
        </is>
      </c>
      <c r="H26" s="107" t="inlineStr">
        <is>
          <t>02YABSXFR90008</t>
        </is>
      </c>
      <c r="I26" s="107" t="inlineStr">
        <is>
          <t>ES1/Q9WK</t>
        </is>
      </c>
      <c r="J26" s="107" t="inlineStr">
        <is>
          <t>5795964AD7886700</t>
        </is>
      </c>
      <c r="K26" s="107" t="n"/>
      <c r="L26" s="107" t="inlineStr">
        <is>
          <t>Samsung</t>
        </is>
      </c>
      <c r="M26" s="107" t="inlineStr">
        <is>
          <t>Rambus</t>
        </is>
      </c>
      <c r="N26" s="39" t="inlineStr">
        <is>
          <t>M321R4GA3PB1-CCPYC</t>
        </is>
      </c>
      <c r="O26" s="107" t="inlineStr">
        <is>
          <t>RE32</t>
        </is>
      </c>
      <c r="P26" s="39" t="inlineStr">
        <is>
          <t>1DPC 6400(16)</t>
        </is>
      </c>
      <c r="Q26" s="107" t="inlineStr">
        <is>
          <t>32.D91.2604210616</t>
        </is>
      </c>
      <c r="R26" s="107" t="inlineStr">
        <is>
          <t>MT2529J01M5T</t>
        </is>
      </c>
      <c r="S26" s="107" t="inlineStr">
        <is>
          <t>02YAVXFS2000010</t>
        </is>
      </c>
      <c r="T26" s="107" t="inlineStr">
        <is>
          <t>Gen5</t>
        </is>
      </c>
      <c r="U26" s="107" t="inlineStr">
        <is>
          <t>SMV_Margin</t>
        </is>
      </c>
      <c r="V26" s="107" t="inlineStr">
        <is>
          <t>x8x8</t>
        </is>
      </c>
      <c r="W26" s="107" t="inlineStr">
        <is>
          <t>CX8</t>
        </is>
      </c>
      <c r="X26" s="107" t="inlineStr">
        <is>
          <t>pxp1</t>
        </is>
      </c>
      <c r="Y26" s="63" t="n">
        <v>0</v>
      </c>
      <c r="Z26" s="105" t="n">
        <v>15019294668</v>
      </c>
      <c r="AA26" s="107" t="n">
        <v>3</v>
      </c>
      <c r="AB26" s="107" t="n">
        <v>2</v>
      </c>
      <c r="AC26" s="107" t="n">
        <v>3</v>
      </c>
      <c r="AD26" s="82">
        <f>ROUND((VALUE(LEFT(SMV_Margin!G10,SEARCH(":",SMV_Margin!G10)-1)) + VALUE(MID(SMV_Margin!G10,SEARCH(":",SMV_Margin!G10)+1,2))/60 + VALUE(RIGHT(SMV_Margin!G10,2))/3600),2)</f>
        <v/>
      </c>
      <c r="AE26" s="13" t="inlineStr">
        <is>
          <t>PASS</t>
        </is>
      </c>
      <c r="AF26" s="13" t="inlineStr">
        <is>
          <t>NA</t>
        </is>
      </c>
      <c r="AG26" s="13" t="inlineStr">
        <is>
          <t>NA</t>
        </is>
      </c>
      <c r="AH26" s="13" t="inlineStr">
        <is>
          <t>NA</t>
        </is>
      </c>
      <c r="AI26" s="13" t="inlineStr">
        <is>
          <t>NA</t>
        </is>
      </c>
      <c r="AJ26" s="13" t="inlineStr">
        <is>
          <t>NA</t>
        </is>
      </c>
      <c r="AK26" s="13" t="inlineStr">
        <is>
          <t>NA</t>
        </is>
      </c>
      <c r="AL26" s="13" t="inlineStr">
        <is>
          <t>NA</t>
        </is>
      </c>
      <c r="AM26" s="13" t="inlineStr">
        <is>
          <t>NA</t>
        </is>
      </c>
      <c r="AN26" s="29" t="n">
        <v>1</v>
      </c>
      <c r="AO26" s="107" t="n"/>
      <c r="AP26" s="77" t="inlineStr">
        <is>
          <t>http://10.239.81.58/Xeon/NTA/PCIE/xfusion/unit2-dbgsz11/pxp1.port0_x8/SMV/</t>
        </is>
      </c>
      <c r="AQ26" s="57" t="n"/>
    </row>
    <row r="27" ht="15" customHeight="1">
      <c r="A27" s="107" t="n">
        <v>26</v>
      </c>
      <c r="B27" s="107" t="inlineStr">
        <is>
          <t>2S1</t>
        </is>
      </c>
      <c r="C27" s="107" t="n">
        <v>0</v>
      </c>
      <c r="D27" s="107">
        <f>IF(C27=0,1,2)</f>
        <v/>
      </c>
      <c r="E27" s="107" t="inlineStr">
        <is>
          <t>dbgsz11</t>
        </is>
      </c>
      <c r="F27" s="107" t="inlineStr">
        <is>
          <t>xFusion #2</t>
        </is>
      </c>
      <c r="G27" s="107" t="inlineStr">
        <is>
          <t>02YACYLHS3000001</t>
        </is>
      </c>
      <c r="H27" s="107" t="inlineStr">
        <is>
          <t>02YABSXFR90008</t>
        </is>
      </c>
      <c r="I27" s="107" t="inlineStr">
        <is>
          <t>ES1/Q9WK</t>
        </is>
      </c>
      <c r="J27" s="107" t="inlineStr">
        <is>
          <t>5795964AD7886700</t>
        </is>
      </c>
      <c r="K27" s="107" t="n"/>
      <c r="L27" s="107" t="inlineStr">
        <is>
          <t>Samsung</t>
        </is>
      </c>
      <c r="M27" s="107" t="inlineStr">
        <is>
          <t>Rambus</t>
        </is>
      </c>
      <c r="N27" s="39" t="inlineStr">
        <is>
          <t>M321R4GA3PB1-CCPYC</t>
        </is>
      </c>
      <c r="O27" s="107" t="inlineStr">
        <is>
          <t>RE32</t>
        </is>
      </c>
      <c r="P27" s="39" t="inlineStr">
        <is>
          <t>1DPC 6400(16)</t>
        </is>
      </c>
      <c r="Q27" s="107" t="inlineStr">
        <is>
          <t>32.D91.2604210616</t>
        </is>
      </c>
      <c r="R27" s="107" t="inlineStr">
        <is>
          <t>MT2529J01M5T</t>
        </is>
      </c>
      <c r="S27" s="107" t="inlineStr">
        <is>
          <t>02YAVXFS2000010</t>
        </is>
      </c>
      <c r="T27" s="107" t="inlineStr">
        <is>
          <t>Gen5</t>
        </is>
      </c>
      <c r="U27" s="107" t="inlineStr">
        <is>
          <t>SMV_Margin</t>
        </is>
      </c>
      <c r="V27" s="107" t="inlineStr">
        <is>
          <t>x8x8</t>
        </is>
      </c>
      <c r="W27" s="107" t="inlineStr">
        <is>
          <t>CX8</t>
        </is>
      </c>
      <c r="X27" s="107" t="inlineStr">
        <is>
          <t>pxp1</t>
        </is>
      </c>
      <c r="Y27" s="63" t="n">
        <v>4</v>
      </c>
      <c r="Z27" s="105" t="n">
        <v>15019302215</v>
      </c>
      <c r="AA27" s="107" t="n">
        <v>3</v>
      </c>
      <c r="AB27" s="107" t="n">
        <v>2</v>
      </c>
      <c r="AC27" s="107" t="n">
        <v>3</v>
      </c>
      <c r="AD27" s="82">
        <f>ROUND((VALUE(LEFT(SMV_Margin!G11,SEARCH(":",SMV_Margin!G11)-1)) + VALUE(MID(SMV_Margin!G11,SEARCH(":",SMV_Margin!G11)+1,2))/60 + VALUE(RIGHT(SMV_Margin!G11,2))/3600),2)</f>
        <v/>
      </c>
      <c r="AE27" s="13" t="inlineStr">
        <is>
          <t>PASS</t>
        </is>
      </c>
      <c r="AF27" s="13" t="inlineStr">
        <is>
          <t>NA</t>
        </is>
      </c>
      <c r="AG27" s="13" t="inlineStr">
        <is>
          <t>NA</t>
        </is>
      </c>
      <c r="AH27" s="13" t="inlineStr">
        <is>
          <t>NA</t>
        </is>
      </c>
      <c r="AI27" s="13" t="inlineStr">
        <is>
          <t>NA</t>
        </is>
      </c>
      <c r="AJ27" s="13" t="inlineStr">
        <is>
          <t>NA</t>
        </is>
      </c>
      <c r="AK27" s="13" t="inlineStr">
        <is>
          <t>NA</t>
        </is>
      </c>
      <c r="AL27" s="13" t="inlineStr">
        <is>
          <t>NA</t>
        </is>
      </c>
      <c r="AM27" s="13" t="inlineStr">
        <is>
          <t>NA</t>
        </is>
      </c>
      <c r="AN27" s="29" t="n">
        <v>1</v>
      </c>
      <c r="AO27" s="107" t="n"/>
      <c r="AP27" s="77" t="inlineStr">
        <is>
          <t>http://10.239.81.58/Xeon/NTA/PCIE/xfusion/unit2-dbgsz11/pxp1.port4_x8/SMV/</t>
        </is>
      </c>
      <c r="AQ27" s="57" t="n"/>
    </row>
    <row r="28" ht="15" customHeight="1">
      <c r="A28" s="107" t="n">
        <v>27</v>
      </c>
      <c r="B28" s="107" t="inlineStr">
        <is>
          <t>2S1</t>
        </is>
      </c>
      <c r="C28" s="107" t="n">
        <v>0</v>
      </c>
      <c r="D28" s="107">
        <f>IF(C28=0,1,2)</f>
        <v/>
      </c>
      <c r="E28" s="107" t="inlineStr">
        <is>
          <t>dbgsz11</t>
        </is>
      </c>
      <c r="F28" s="107" t="inlineStr">
        <is>
          <t>xFusion #2</t>
        </is>
      </c>
      <c r="G28" s="107" t="inlineStr">
        <is>
          <t>02YACYLHS3000001</t>
        </is>
      </c>
      <c r="H28" s="107" t="inlineStr">
        <is>
          <t>02YABSXFR90008</t>
        </is>
      </c>
      <c r="I28" s="107" t="inlineStr">
        <is>
          <t>ES1/Q9WK</t>
        </is>
      </c>
      <c r="J28" s="107" t="inlineStr">
        <is>
          <t>5795964AD7886700</t>
        </is>
      </c>
      <c r="K28" s="107" t="n"/>
      <c r="L28" s="107" t="inlineStr">
        <is>
          <t>Samsung</t>
        </is>
      </c>
      <c r="M28" s="107" t="inlineStr">
        <is>
          <t>Rambus</t>
        </is>
      </c>
      <c r="N28" s="39" t="inlineStr">
        <is>
          <t>M321R4GA3PB1-CCPYC</t>
        </is>
      </c>
      <c r="O28" s="107" t="inlineStr">
        <is>
          <t>RE32</t>
        </is>
      </c>
      <c r="P28" s="39" t="inlineStr">
        <is>
          <t>1DPC 6400(16)</t>
        </is>
      </c>
      <c r="Q28" s="107" t="inlineStr">
        <is>
          <t>32.D91.2604210616</t>
        </is>
      </c>
      <c r="R28" s="107" t="inlineStr">
        <is>
          <t>MT2529J01M5T</t>
        </is>
      </c>
      <c r="S28" s="107" t="inlineStr">
        <is>
          <t>02YAVXFS2000010/02YAVXFR90000008</t>
        </is>
      </c>
      <c r="T28" s="107" t="inlineStr">
        <is>
          <t>Gen5</t>
        </is>
      </c>
      <c r="U28" s="107" t="inlineStr">
        <is>
          <t>SMV_Margin</t>
        </is>
      </c>
      <c r="V28" s="107" t="inlineStr">
        <is>
          <t>x16</t>
        </is>
      </c>
      <c r="W28" s="107" t="inlineStr">
        <is>
          <t>CX8</t>
        </is>
      </c>
      <c r="X28" s="107" t="inlineStr">
        <is>
          <t>pxp3</t>
        </is>
      </c>
      <c r="Y28" s="63" t="n">
        <v>0</v>
      </c>
      <c r="Z28" s="105">
        <f>HYPERLINK("https://hsdes.intel.com/resource/15019302282", "15019302282")</f>
        <v/>
      </c>
      <c r="AA28" s="107" t="n">
        <v>3</v>
      </c>
      <c r="AB28" s="107" t="n">
        <v>2</v>
      </c>
      <c r="AC28" s="107" t="n">
        <v>3</v>
      </c>
      <c r="AD28" s="82">
        <f>ROUND((VALUE(LEFT(SMV_Margin!G12,SEARCH(":",SMV_Margin!G12)-1)) + VALUE(MID(SMV_Margin!G12,SEARCH(":",SMV_Margin!G12)+1,2))/60 + VALUE(RIGHT(SMV_Margin!G12,2))/3600),2)</f>
        <v/>
      </c>
      <c r="AE28" s="13" t="inlineStr">
        <is>
          <t>PASS</t>
        </is>
      </c>
      <c r="AF28" s="13" t="inlineStr">
        <is>
          <t>NA</t>
        </is>
      </c>
      <c r="AG28" s="13" t="inlineStr">
        <is>
          <t>NA</t>
        </is>
      </c>
      <c r="AH28" s="13" t="inlineStr">
        <is>
          <t>NA</t>
        </is>
      </c>
      <c r="AI28" s="13" t="inlineStr">
        <is>
          <t>NA</t>
        </is>
      </c>
      <c r="AJ28" s="13" t="inlineStr">
        <is>
          <t>NA</t>
        </is>
      </c>
      <c r="AK28" s="13" t="inlineStr">
        <is>
          <t>NA</t>
        </is>
      </c>
      <c r="AL28" s="13" t="inlineStr">
        <is>
          <t>NA</t>
        </is>
      </c>
      <c r="AM28" s="13" t="inlineStr">
        <is>
          <t>NA</t>
        </is>
      </c>
      <c r="AN28" s="29" t="n">
        <v>1</v>
      </c>
      <c r="AO28" s="107" t="n"/>
      <c r="AP28" s="77" t="inlineStr">
        <is>
          <t>http://10.239.81.58/Xeon/NTA/PCIE/xfusion/unit2-dbgsz11/pxp3.port0_x16/SMV/</t>
        </is>
      </c>
      <c r="AQ28" s="59" t="inlineStr">
        <is>
          <t>LTSSM use 02YAVXFS2000010
SMV margin use 02YAVXFR90000008</t>
        </is>
      </c>
    </row>
    <row r="29" ht="15" customFormat="1" customHeight="1" s="14">
      <c r="A29" s="107" t="n">
        <v>28</v>
      </c>
      <c r="B29" s="107" t="inlineStr">
        <is>
          <t>2S1</t>
        </is>
      </c>
      <c r="C29" s="107" t="n">
        <v>0</v>
      </c>
      <c r="D29" s="107">
        <f>IF(C29=0,1,2)</f>
        <v/>
      </c>
      <c r="E29" s="107" t="inlineStr">
        <is>
          <t>dbgsz11</t>
        </is>
      </c>
      <c r="F29" s="107" t="inlineStr">
        <is>
          <t>xFusion #2</t>
        </is>
      </c>
      <c r="G29" s="107" t="inlineStr">
        <is>
          <t>02YACYLHS3000001</t>
        </is>
      </c>
      <c r="H29" s="107" t="inlineStr">
        <is>
          <t>02YABSXFR90008</t>
        </is>
      </c>
      <c r="I29" s="107" t="inlineStr">
        <is>
          <t>ES1/Q9WK</t>
        </is>
      </c>
      <c r="J29" s="107" t="inlineStr">
        <is>
          <t>5795964AD7886700</t>
        </is>
      </c>
      <c r="K29" s="107" t="n"/>
      <c r="L29" s="107" t="inlineStr">
        <is>
          <t>Samsung</t>
        </is>
      </c>
      <c r="M29" s="107" t="inlineStr">
        <is>
          <t>Rambus</t>
        </is>
      </c>
      <c r="N29" s="39" t="inlineStr">
        <is>
          <t>M321R4GA3PB1-CCPYC</t>
        </is>
      </c>
      <c r="O29" s="107" t="inlineStr">
        <is>
          <t>RE32</t>
        </is>
      </c>
      <c r="P29" s="39" t="inlineStr">
        <is>
          <t>1DPC 6400(16)</t>
        </is>
      </c>
      <c r="Q29" s="107" t="inlineStr">
        <is>
          <t>32.D91.2604210616</t>
        </is>
      </c>
      <c r="R29" s="107" t="inlineStr">
        <is>
          <t>MT2529J01M5T</t>
        </is>
      </c>
      <c r="S29" s="107" t="inlineStr">
        <is>
          <t>02YAVXFS2000010</t>
        </is>
      </c>
      <c r="T29" s="107" t="inlineStr">
        <is>
          <t>Gen5</t>
        </is>
      </c>
      <c r="U29" s="107" t="inlineStr">
        <is>
          <t>SMV_Margin</t>
        </is>
      </c>
      <c r="V29" s="107" t="inlineStr">
        <is>
          <t>x8x8</t>
        </is>
      </c>
      <c r="W29" s="107" t="inlineStr">
        <is>
          <t>CX8</t>
        </is>
      </c>
      <c r="X29" s="107" t="inlineStr">
        <is>
          <t>pxp4</t>
        </is>
      </c>
      <c r="Y29" s="63" t="n">
        <v>0</v>
      </c>
      <c r="Z29" s="105">
        <f>HYPERLINK("https://hsdes.intel.com/resource/15019304989", "15019304989")</f>
        <v/>
      </c>
      <c r="AA29" s="107" t="n">
        <v>3</v>
      </c>
      <c r="AB29" s="107" t="n">
        <v>2</v>
      </c>
      <c r="AC29" s="107" t="n">
        <v>3</v>
      </c>
      <c r="AD29" s="82">
        <f>ROUND((VALUE(LEFT(SMV_Margin!G13,SEARCH(":",SMV_Margin!G13)-1)) + VALUE(MID(SMV_Margin!G13,SEARCH(":",SMV_Margin!G13)+1,2))/60 + VALUE(RIGHT(SMV_Margin!G13,2))/3600),2)</f>
        <v/>
      </c>
      <c r="AE29" s="13" t="inlineStr">
        <is>
          <t>PASS</t>
        </is>
      </c>
      <c r="AF29" s="13" t="inlineStr">
        <is>
          <t>NA</t>
        </is>
      </c>
      <c r="AG29" s="13" t="inlineStr">
        <is>
          <t>NA</t>
        </is>
      </c>
      <c r="AH29" s="13" t="inlineStr">
        <is>
          <t>NA</t>
        </is>
      </c>
      <c r="AI29" s="13" t="inlineStr">
        <is>
          <t>NA</t>
        </is>
      </c>
      <c r="AJ29" s="13" t="inlineStr">
        <is>
          <t>NA</t>
        </is>
      </c>
      <c r="AK29" s="13" t="inlineStr">
        <is>
          <t>NA</t>
        </is>
      </c>
      <c r="AL29" s="13" t="inlineStr">
        <is>
          <t>NA</t>
        </is>
      </c>
      <c r="AM29" s="13" t="inlineStr">
        <is>
          <t>NA</t>
        </is>
      </c>
      <c r="AN29" s="29" t="n">
        <v>1</v>
      </c>
      <c r="AO29" s="107" t="n"/>
      <c r="AP29" s="77" t="inlineStr">
        <is>
          <t>http://10.239.81.58/Xeon/NTA/PCIE/xfusion/unit2-dbgsz11/pxp4.port0_x8/SMV/</t>
        </is>
      </c>
      <c r="AQ29" s="26" t="n"/>
    </row>
    <row r="30" ht="15" customFormat="1" customHeight="1" s="14">
      <c r="A30" s="107" t="n">
        <v>29</v>
      </c>
      <c r="B30" s="107" t="inlineStr">
        <is>
          <t>2S1</t>
        </is>
      </c>
      <c r="C30" s="107" t="n">
        <v>0</v>
      </c>
      <c r="D30" s="107">
        <f>IF(C30=0,1,2)</f>
        <v/>
      </c>
      <c r="E30" s="107" t="inlineStr">
        <is>
          <t>dbgsz11</t>
        </is>
      </c>
      <c r="F30" s="107" t="inlineStr">
        <is>
          <t>xFusion #2</t>
        </is>
      </c>
      <c r="G30" s="107" t="inlineStr">
        <is>
          <t>02YACYLHS3000001</t>
        </is>
      </c>
      <c r="H30" s="107" t="inlineStr">
        <is>
          <t>02YABSXFR90008</t>
        </is>
      </c>
      <c r="I30" s="107" t="inlineStr">
        <is>
          <t>ES1/Q9WK</t>
        </is>
      </c>
      <c r="J30" s="107" t="inlineStr">
        <is>
          <t>5795964AD7886700</t>
        </is>
      </c>
      <c r="K30" s="107" t="n"/>
      <c r="L30" s="107" t="inlineStr">
        <is>
          <t>Samsung</t>
        </is>
      </c>
      <c r="M30" s="107" t="inlineStr">
        <is>
          <t>Rambus</t>
        </is>
      </c>
      <c r="N30" s="39" t="inlineStr">
        <is>
          <t>M321R4GA3PB1-CCPYC</t>
        </is>
      </c>
      <c r="O30" s="107" t="inlineStr">
        <is>
          <t>RE32</t>
        </is>
      </c>
      <c r="P30" s="39" t="inlineStr">
        <is>
          <t>1DPC 6400(16)</t>
        </is>
      </c>
      <c r="Q30" s="107" t="inlineStr">
        <is>
          <t>32.D91.2604210616</t>
        </is>
      </c>
      <c r="R30" s="107" t="inlineStr">
        <is>
          <t>MT2529J01M5T</t>
        </is>
      </c>
      <c r="S30" s="107" t="inlineStr">
        <is>
          <t>02YAVXFS2000010</t>
        </is>
      </c>
      <c r="T30" s="107" t="inlineStr">
        <is>
          <t>Gen5</t>
        </is>
      </c>
      <c r="U30" s="107" t="inlineStr">
        <is>
          <t>SMV_Margin</t>
        </is>
      </c>
      <c r="V30" s="107" t="inlineStr">
        <is>
          <t>x8x8</t>
        </is>
      </c>
      <c r="W30" s="107" t="inlineStr">
        <is>
          <t>CX8</t>
        </is>
      </c>
      <c r="X30" s="107" t="inlineStr">
        <is>
          <t>pxp4</t>
        </is>
      </c>
      <c r="Y30" s="63" t="n">
        <v>4</v>
      </c>
      <c r="Z30" s="105">
        <f>HYPERLINK("https://hsdes.intel.com/resource/15019305239", "15019305239")</f>
        <v/>
      </c>
      <c r="AA30" s="107" t="n">
        <v>3</v>
      </c>
      <c r="AB30" s="107" t="n">
        <v>2</v>
      </c>
      <c r="AC30" s="107" t="n">
        <v>3</v>
      </c>
      <c r="AD30" s="82">
        <f>ROUND((VALUE(LEFT(SMV_Margin!G14,SEARCH(":",SMV_Margin!G14)-1)) + VALUE(MID(SMV_Margin!G14,SEARCH(":",SMV_Margin!G14)+1,2))/60 + VALUE(RIGHT(SMV_Margin!G14,2))/3600),2)</f>
        <v/>
      </c>
      <c r="AE30" s="13" t="inlineStr">
        <is>
          <t>PASS</t>
        </is>
      </c>
      <c r="AF30" s="13" t="inlineStr">
        <is>
          <t>NA</t>
        </is>
      </c>
      <c r="AG30" s="13" t="inlineStr">
        <is>
          <t>NA</t>
        </is>
      </c>
      <c r="AH30" s="13" t="inlineStr">
        <is>
          <t>NA</t>
        </is>
      </c>
      <c r="AI30" s="13" t="inlineStr">
        <is>
          <t>NA</t>
        </is>
      </c>
      <c r="AJ30" s="13" t="inlineStr">
        <is>
          <t>NA</t>
        </is>
      </c>
      <c r="AK30" s="13" t="inlineStr">
        <is>
          <t>NA</t>
        </is>
      </c>
      <c r="AL30" s="13" t="inlineStr">
        <is>
          <t>NA</t>
        </is>
      </c>
      <c r="AM30" s="13" t="inlineStr">
        <is>
          <t>NA</t>
        </is>
      </c>
      <c r="AN30" s="29" t="n">
        <v>1</v>
      </c>
      <c r="AO30" s="107" t="n"/>
      <c r="AP30" s="77" t="inlineStr">
        <is>
          <t>http://10.239.81.58/Xeon/NTA/PCIE/xfusion/unit2-dbgsz11/pxp4.port4_x8/SMV/</t>
        </is>
      </c>
      <c r="AQ30" s="26" t="n"/>
    </row>
    <row r="31" ht="15" customHeight="1">
      <c r="A31" s="107" t="n">
        <v>30</v>
      </c>
      <c r="B31" s="107" t="inlineStr">
        <is>
          <t>2S1</t>
        </is>
      </c>
      <c r="C31" s="107" t="n">
        <v>0</v>
      </c>
      <c r="D31" s="107">
        <f>IF(C31=0,1,2)</f>
        <v/>
      </c>
      <c r="E31" s="107" t="inlineStr">
        <is>
          <t>dbgsz11</t>
        </is>
      </c>
      <c r="F31" s="107" t="inlineStr">
        <is>
          <t>xFusion #2</t>
        </is>
      </c>
      <c r="G31" s="107" t="inlineStr">
        <is>
          <t>02YACYLHS3000001</t>
        </is>
      </c>
      <c r="H31" s="107" t="inlineStr">
        <is>
          <t>02YABSXFR90008</t>
        </is>
      </c>
      <c r="I31" s="107" t="inlineStr">
        <is>
          <t>ES1/Q9WK</t>
        </is>
      </c>
      <c r="J31" s="107" t="inlineStr">
        <is>
          <t>5795964AD7886700</t>
        </is>
      </c>
      <c r="K31" s="107" t="n"/>
      <c r="L31" s="107" t="inlineStr">
        <is>
          <t>Samsung</t>
        </is>
      </c>
      <c r="M31" s="107" t="inlineStr">
        <is>
          <t>Rambus</t>
        </is>
      </c>
      <c r="N31" s="39" t="inlineStr">
        <is>
          <t>M321R4GA3PB1-CCPYC</t>
        </is>
      </c>
      <c r="O31" s="107" t="inlineStr">
        <is>
          <t>RE32</t>
        </is>
      </c>
      <c r="P31" s="39" t="inlineStr">
        <is>
          <t>1DPC 6400(16)</t>
        </is>
      </c>
      <c r="Q31" s="107" t="inlineStr">
        <is>
          <t>32.D91.2604210616</t>
        </is>
      </c>
      <c r="R31" s="107" t="inlineStr">
        <is>
          <t>MT2529J01M5T</t>
        </is>
      </c>
      <c r="S31" s="107" t="inlineStr">
        <is>
          <t>02YAVXFR90000008</t>
        </is>
      </c>
      <c r="T31" s="107" t="inlineStr">
        <is>
          <t>Gen5</t>
        </is>
      </c>
      <c r="U31" s="107" t="inlineStr">
        <is>
          <t>SMV_Margin</t>
        </is>
      </c>
      <c r="V31" s="107" t="inlineStr">
        <is>
          <t>x16</t>
        </is>
      </c>
      <c r="W31" s="107" t="inlineStr">
        <is>
          <t>CX8</t>
        </is>
      </c>
      <c r="X31" s="107" t="inlineStr">
        <is>
          <t>pxp9</t>
        </is>
      </c>
      <c r="Y31" s="63" t="n">
        <v>0</v>
      </c>
      <c r="Z31" s="105">
        <f>HYPERLINK("https://hsdes.intel.com/resource/15019305370", "15019305370")</f>
        <v/>
      </c>
      <c r="AA31" s="107" t="n">
        <v>3</v>
      </c>
      <c r="AB31" s="107" t="n">
        <v>2</v>
      </c>
      <c r="AC31" s="107" t="n">
        <v>3</v>
      </c>
      <c r="AD31" s="82">
        <f>ROUND((VALUE(LEFT(SMV_Margin!G15,SEARCH(":",SMV_Margin!G15)-1)) + VALUE(MID(SMV_Margin!G15,SEARCH(":",SMV_Margin!G15)+1,2))/60 + VALUE(RIGHT(SMV_Margin!G15,2))/3600),2)</f>
        <v/>
      </c>
      <c r="AE31" s="13" t="inlineStr">
        <is>
          <t>PASS</t>
        </is>
      </c>
      <c r="AF31" s="13" t="inlineStr">
        <is>
          <t>NA</t>
        </is>
      </c>
      <c r="AG31" s="13" t="inlineStr">
        <is>
          <t>NA</t>
        </is>
      </c>
      <c r="AH31" s="13" t="inlineStr">
        <is>
          <t>NA</t>
        </is>
      </c>
      <c r="AI31" s="13" t="inlineStr">
        <is>
          <t>NA</t>
        </is>
      </c>
      <c r="AJ31" s="13" t="inlineStr">
        <is>
          <t>NA</t>
        </is>
      </c>
      <c r="AK31" s="13" t="inlineStr">
        <is>
          <t>NA</t>
        </is>
      </c>
      <c r="AL31" s="13" t="inlineStr">
        <is>
          <t>NA</t>
        </is>
      </c>
      <c r="AM31" s="13" t="inlineStr">
        <is>
          <t>NA</t>
        </is>
      </c>
      <c r="AN31" s="29" t="n">
        <v>1</v>
      </c>
      <c r="AO31" s="107" t="n"/>
      <c r="AP31" s="77" t="inlineStr">
        <is>
          <t>http://10.239.81.58/Xeon/NTA/PCIE/xfusion/unit2-dbgsz11/pxp9.port0_x16/SMV/</t>
        </is>
      </c>
      <c r="AQ31" s="26" t="n"/>
    </row>
    <row r="32" ht="15" customFormat="1" customHeight="1" s="14">
      <c r="A32" s="107" t="n">
        <v>31</v>
      </c>
      <c r="B32" s="107" t="inlineStr">
        <is>
          <t>2S1</t>
        </is>
      </c>
      <c r="C32" s="107" t="n">
        <v>0</v>
      </c>
      <c r="D32" s="107">
        <f>IF(C32=0,1,2)</f>
        <v/>
      </c>
      <c r="E32" s="107" t="inlineStr">
        <is>
          <t>dbgsz11</t>
        </is>
      </c>
      <c r="F32" s="107" t="inlineStr">
        <is>
          <t>xFusion #2</t>
        </is>
      </c>
      <c r="G32" s="107" t="inlineStr">
        <is>
          <t>02YACYLHS3000001</t>
        </is>
      </c>
      <c r="H32" s="107" t="inlineStr">
        <is>
          <t>02YABSXFR90008</t>
        </is>
      </c>
      <c r="I32" s="107" t="inlineStr">
        <is>
          <t>ES1/Q9WK</t>
        </is>
      </c>
      <c r="J32" s="107" t="inlineStr">
        <is>
          <t>5795964AD7886700</t>
        </is>
      </c>
      <c r="K32" s="107" t="n"/>
      <c r="L32" s="107" t="inlineStr">
        <is>
          <t>Samsung</t>
        </is>
      </c>
      <c r="M32" s="107" t="inlineStr">
        <is>
          <t>Rambus</t>
        </is>
      </c>
      <c r="N32" s="39" t="inlineStr">
        <is>
          <t>M321R4GA3PB1-CCPYC</t>
        </is>
      </c>
      <c r="O32" s="107" t="inlineStr">
        <is>
          <t>RE32</t>
        </is>
      </c>
      <c r="P32" s="39" t="inlineStr">
        <is>
          <t>1DPC 6400(16)</t>
        </is>
      </c>
      <c r="Q32" s="107" t="inlineStr">
        <is>
          <t>32.D91.2604210616</t>
        </is>
      </c>
      <c r="R32" s="107" t="inlineStr">
        <is>
          <t>MT2529J01M5T</t>
        </is>
      </c>
      <c r="S32" s="107" t="inlineStr">
        <is>
          <t>02YAVXFR90000008</t>
        </is>
      </c>
      <c r="T32" s="107" t="inlineStr">
        <is>
          <t>Gen5</t>
        </is>
      </c>
      <c r="U32" s="107" t="inlineStr">
        <is>
          <t>SMV_Margin</t>
        </is>
      </c>
      <c r="V32" s="107" t="inlineStr">
        <is>
          <t>x16</t>
        </is>
      </c>
      <c r="W32" s="107" t="inlineStr">
        <is>
          <t>CX8</t>
        </is>
      </c>
      <c r="X32" s="107" t="inlineStr">
        <is>
          <t>pxp11</t>
        </is>
      </c>
      <c r="Y32" s="63" t="n">
        <v>0</v>
      </c>
      <c r="Z32" s="105">
        <f>HYPERLINK("https://hsdes.intel.com/resource/15019305356", "15019305356")</f>
        <v/>
      </c>
      <c r="AA32" s="107" t="n">
        <v>3</v>
      </c>
      <c r="AB32" s="107" t="n">
        <v>2</v>
      </c>
      <c r="AC32" s="107" t="n">
        <v>3</v>
      </c>
      <c r="AD32" s="82">
        <f>ROUND((VALUE(LEFT(SMV_Margin!G16,SEARCH(":",SMV_Margin!G16)-1)) + VALUE(MID(SMV_Margin!G16,SEARCH(":",SMV_Margin!G16)+1,2))/60 + VALUE(RIGHT(SMV_Margin!G16,2))/3600),2)</f>
        <v/>
      </c>
      <c r="AE32" s="13" t="inlineStr">
        <is>
          <t>PASS</t>
        </is>
      </c>
      <c r="AF32" s="13" t="inlineStr">
        <is>
          <t>NA</t>
        </is>
      </c>
      <c r="AG32" s="13" t="inlineStr">
        <is>
          <t>NA</t>
        </is>
      </c>
      <c r="AH32" s="13" t="inlineStr">
        <is>
          <t>NA</t>
        </is>
      </c>
      <c r="AI32" s="13" t="inlineStr">
        <is>
          <t>NA</t>
        </is>
      </c>
      <c r="AJ32" s="13" t="inlineStr">
        <is>
          <t>NA</t>
        </is>
      </c>
      <c r="AK32" s="13" t="inlineStr">
        <is>
          <t>NA</t>
        </is>
      </c>
      <c r="AL32" s="13" t="inlineStr">
        <is>
          <t>NA</t>
        </is>
      </c>
      <c r="AM32" s="13" t="inlineStr">
        <is>
          <t>NA</t>
        </is>
      </c>
      <c r="AN32" s="29" t="n">
        <v>1</v>
      </c>
      <c r="AO32" s="107" t="n"/>
      <c r="AP32" s="77" t="inlineStr">
        <is>
          <t>http://10.239.81.58/Xeon/NTA/PCIE/xfusion/unit2-dbgsz11/pxp11.port0_x16/SMV/</t>
        </is>
      </c>
      <c r="AQ32" s="26" t="n"/>
    </row>
    <row r="33" ht="15" customHeight="1">
      <c r="A33" s="107" t="n">
        <v>32</v>
      </c>
      <c r="B33" s="107" t="inlineStr">
        <is>
          <t>2S1</t>
        </is>
      </c>
      <c r="C33" s="107" t="n">
        <v>0</v>
      </c>
      <c r="D33" s="107">
        <f>IF(C33=0,1,2)</f>
        <v/>
      </c>
      <c r="E33" s="107" t="inlineStr">
        <is>
          <t>dbgsz11</t>
        </is>
      </c>
      <c r="F33" s="107" t="inlineStr">
        <is>
          <t>xFusion #2</t>
        </is>
      </c>
      <c r="G33" s="107" t="inlineStr">
        <is>
          <t>02YACYLHS3000001</t>
        </is>
      </c>
      <c r="H33" s="107" t="inlineStr">
        <is>
          <t>02YABSXFR90008</t>
        </is>
      </c>
      <c r="I33" s="107" t="inlineStr">
        <is>
          <t>ES1/Q9WK</t>
        </is>
      </c>
      <c r="J33" s="107" t="inlineStr">
        <is>
          <t>5795964AD7886700</t>
        </is>
      </c>
      <c r="K33" s="107" t="n"/>
      <c r="L33" s="107" t="inlineStr">
        <is>
          <t>Samsung</t>
        </is>
      </c>
      <c r="M33" s="107" t="inlineStr">
        <is>
          <t>Rambus</t>
        </is>
      </c>
      <c r="N33" s="39" t="inlineStr">
        <is>
          <t>M321R4GA3PB1-CCPYC</t>
        </is>
      </c>
      <c r="O33" s="107" t="inlineStr">
        <is>
          <t>RE32</t>
        </is>
      </c>
      <c r="P33" s="39" t="inlineStr">
        <is>
          <t>1DPC 6400(16)</t>
        </is>
      </c>
      <c r="Q33" s="107" t="inlineStr">
        <is>
          <t>32.D91.2604210616</t>
        </is>
      </c>
      <c r="R33" s="107" t="inlineStr">
        <is>
          <t>MT2529J01M5T</t>
        </is>
      </c>
      <c r="S33" s="107" t="inlineStr">
        <is>
          <t>02YAVXFR90000008</t>
        </is>
      </c>
      <c r="T33" s="107" t="inlineStr">
        <is>
          <t>Gen5</t>
        </is>
      </c>
      <c r="U33" s="107" t="inlineStr">
        <is>
          <t>SMV_Margin</t>
        </is>
      </c>
      <c r="V33" s="107" t="inlineStr">
        <is>
          <t>x16</t>
        </is>
      </c>
      <c r="W33" s="107" t="inlineStr">
        <is>
          <t>CX8</t>
        </is>
      </c>
      <c r="X33" s="107" t="inlineStr">
        <is>
          <t>pxp12</t>
        </is>
      </c>
      <c r="Y33" s="63" t="n">
        <v>0</v>
      </c>
      <c r="Z33" s="105">
        <f>HYPERLINK("https://hsdes.intel.com/resource/15019305352", "15019305352")</f>
        <v/>
      </c>
      <c r="AA33" s="107" t="n">
        <v>3</v>
      </c>
      <c r="AB33" s="107" t="n">
        <v>2</v>
      </c>
      <c r="AC33" s="107" t="n">
        <v>3</v>
      </c>
      <c r="AD33" s="82">
        <f>ROUND((VALUE(LEFT(SMV_Margin!G17,SEARCH(":",SMV_Margin!G17)-1)) + VALUE(MID(SMV_Margin!G17,SEARCH(":",SMV_Margin!G17)+1,2))/60 + VALUE(RIGHT(SMV_Margin!G17,2))/3600),2)</f>
        <v/>
      </c>
      <c r="AE33" s="13" t="inlineStr">
        <is>
          <t>PASS</t>
        </is>
      </c>
      <c r="AF33" s="13" t="inlineStr">
        <is>
          <t>NA</t>
        </is>
      </c>
      <c r="AG33" s="13" t="inlineStr">
        <is>
          <t>NA</t>
        </is>
      </c>
      <c r="AH33" s="13" t="inlineStr">
        <is>
          <t>NA</t>
        </is>
      </c>
      <c r="AI33" s="13" t="inlineStr">
        <is>
          <t>NA</t>
        </is>
      </c>
      <c r="AJ33" s="13" t="inlineStr">
        <is>
          <t>NA</t>
        </is>
      </c>
      <c r="AK33" s="13" t="inlineStr">
        <is>
          <t>NA</t>
        </is>
      </c>
      <c r="AL33" s="13" t="inlineStr">
        <is>
          <t>NA</t>
        </is>
      </c>
      <c r="AM33" s="13" t="inlineStr">
        <is>
          <t>NA</t>
        </is>
      </c>
      <c r="AN33" s="29" t="n">
        <v>1</v>
      </c>
      <c r="AO33" s="107" t="n"/>
      <c r="AP33" s="77" t="inlineStr">
        <is>
          <t>http://10.239.81.58/Xeon/NTA/PCIE/xfusion/unit2-dbgsz11/pxp12.port0_x16/SMV/</t>
        </is>
      </c>
      <c r="AQ33" s="26" t="n"/>
    </row>
    <row r="35">
      <c r="AD35" s="79" t="n"/>
    </row>
  </sheetData>
  <autoFilter ref="A1:AQ33"/>
  <conditionalFormatting sqref="T2:T33">
    <cfRule type="containsText" priority="184" operator="containsText" dxfId="5" text="Gen5">
      <formula>NOT(ISERROR(SEARCH("Gen5",T2)))</formula>
    </cfRule>
    <cfRule type="containsText" priority="185" operator="containsText" dxfId="4" text="Gen6">
      <formula>NOT(ISERROR(SEARCH("Gen6",T2)))</formula>
    </cfRule>
  </conditionalFormatting>
  <conditionalFormatting sqref="U2:U33">
    <cfRule type="containsText" priority="200" operator="containsText" dxfId="5" text="SMV_Margin">
      <formula>NOT(ISERROR(SEARCH("SMV_Margin",U2)))</formula>
    </cfRule>
    <cfRule type="containsText" priority="201" operator="containsText" dxfId="4" text="LTSSM">
      <formula>NOT(ISERROR(SEARCH("LTSSM",U2)))</formula>
    </cfRule>
  </conditionalFormatting>
  <conditionalFormatting sqref="V2:V33">
    <cfRule type="containsText" priority="186" operator="containsText" dxfId="5" text="x8x8">
      <formula>NOT(ISERROR(SEARCH("x8x8",V2)))</formula>
    </cfRule>
    <cfRule type="containsText" priority="187" operator="containsText" dxfId="4" text="x16">
      <formula>NOT(ISERROR(SEARCH("x16",V2)))</formula>
    </cfRule>
  </conditionalFormatting>
  <conditionalFormatting sqref="W2:W33">
    <cfRule type="containsText" priority="188" operator="containsText" dxfId="5" text="E1.S">
      <formula>NOT(ISERROR(SEARCH("E1.S",W2)))</formula>
    </cfRule>
    <cfRule type="containsText" priority="189" operator="containsText" dxfId="4" text="CX8">
      <formula>NOT(ISERROR(SEARCH("CX8",W2)))</formula>
    </cfRule>
  </conditionalFormatting>
  <conditionalFormatting sqref="X2:X33">
    <cfRule type="cellIs" priority="120" operator="equal" dxfId="8">
      <formula>"pxp12"</formula>
    </cfRule>
    <cfRule type="cellIs" priority="121" operator="equal" dxfId="8">
      <formula>"pxp11"</formula>
    </cfRule>
    <cfRule type="cellIs" priority="122" operator="equal" dxfId="8">
      <formula>"pxp9"</formula>
    </cfRule>
    <cfRule type="cellIs" priority="123" operator="equal" dxfId="8">
      <formula>"pxp3"</formula>
    </cfRule>
    <cfRule type="cellIs" priority="124" operator="equal" dxfId="6">
      <formula>"pxp4"</formula>
    </cfRule>
    <cfRule type="cellIs" priority="202" operator="equal" dxfId="6">
      <formula>"pxp1"</formula>
    </cfRule>
  </conditionalFormatting>
  <conditionalFormatting sqref="Y2:Y33">
    <cfRule type="cellIs" priority="125" operator="equal" dxfId="5">
      <formula>4</formula>
    </cfRule>
    <cfRule type="cellIs" priority="126" operator="equal" dxfId="4">
      <formula>0</formula>
    </cfRule>
  </conditionalFormatting>
  <conditionalFormatting sqref="AA2:AA33">
    <cfRule type="cellIs" priority="199" operator="equal" dxfId="4">
      <formula>1000</formula>
    </cfRule>
  </conditionalFormatting>
  <conditionalFormatting sqref="AA2:AC2">
    <cfRule type="cellIs" priority="135" operator="equal" dxfId="5">
      <formula>3</formula>
    </cfRule>
  </conditionalFormatting>
  <conditionalFormatting sqref="AA3:AC33">
    <cfRule type="cellIs" priority="196" operator="equal" dxfId="5">
      <formula>3</formula>
    </cfRule>
  </conditionalFormatting>
  <conditionalFormatting sqref="AB2:AB33">
    <cfRule type="containsText" priority="198" operator="containsText" dxfId="126" text="NA">
      <formula>NOT(ISERROR(SEARCH("NA",AB2)))</formula>
    </cfRule>
  </conditionalFormatting>
  <conditionalFormatting sqref="AC2:AC33">
    <cfRule type="containsText" priority="195" operator="containsText" dxfId="125" text="NA">
      <formula>NOT(ISERROR(SEARCH("NA",AC2)))</formula>
    </cfRule>
  </conditionalFormatting>
  <conditionalFormatting sqref="AE2:AE10">
    <cfRule type="containsText" priority="104" operator="containsText" dxfId="2" text="block">
      <formula>NOT(ISERROR(SEARCH("block",AE2)))</formula>
    </cfRule>
    <cfRule type="containsText" priority="105" operator="containsText" dxfId="2" text="NA">
      <formula>NOT(ISERROR(SEARCH("NA",AE2)))</formula>
    </cfRule>
    <cfRule type="containsText" priority="106" operator="containsText" dxfId="1" text="fail">
      <formula>NOT(ISERROR(SEARCH("fail",AE2)))</formula>
    </cfRule>
    <cfRule type="containsText" priority="107" operator="containsText" dxfId="0" text="pass">
      <formula>NOT(ISERROR(SEARCH("pass",AE2)))</formula>
    </cfRule>
  </conditionalFormatting>
  <conditionalFormatting sqref="AE12 AE28">
    <cfRule type="containsText" priority="47" operator="containsText" dxfId="2" text="block">
      <formula>NOT(ISERROR(SEARCH("block",AE12)))</formula>
    </cfRule>
    <cfRule type="containsText" priority="48" operator="containsText" dxfId="2" text="NA">
      <formula>NOT(ISERROR(SEARCH("NA",AE12)))</formula>
    </cfRule>
    <cfRule type="containsText" priority="49" operator="containsText" dxfId="1" text="fail">
      <formula>NOT(ISERROR(SEARCH("fail",AE12)))</formula>
    </cfRule>
    <cfRule type="containsText" priority="50" operator="containsText" dxfId="0" text="pass">
      <formula>NOT(ISERROR(SEARCH("pass",AE12)))</formula>
    </cfRule>
  </conditionalFormatting>
  <conditionalFormatting sqref="AE15 AE31">
    <cfRule type="containsText" priority="33" operator="containsText" dxfId="2" text="block">
      <formula>NOT(ISERROR(SEARCH("block",AE15)))</formula>
    </cfRule>
    <cfRule type="containsText" priority="34" operator="containsText" dxfId="2" text="NA">
      <formula>NOT(ISERROR(SEARCH("NA",AE15)))</formula>
    </cfRule>
    <cfRule type="containsText" priority="35" operator="containsText" dxfId="1" text="fail">
      <formula>NOT(ISERROR(SEARCH("fail",AE15)))</formula>
    </cfRule>
    <cfRule type="containsText" priority="36" operator="containsText" dxfId="0" text="pass">
      <formula>NOT(ISERROR(SEARCH("pass",AE15)))</formula>
    </cfRule>
  </conditionalFormatting>
  <conditionalFormatting sqref="AE26">
    <cfRule type="containsText" priority="100" operator="containsText" dxfId="2" text="block">
      <formula>NOT(ISERROR(SEARCH("block",AE26)))</formula>
    </cfRule>
    <cfRule type="containsText" priority="101" operator="containsText" dxfId="2" text="NA">
      <formula>NOT(ISERROR(SEARCH("NA",AE26)))</formula>
    </cfRule>
    <cfRule type="containsText" priority="102" operator="containsText" dxfId="1" text="fail">
      <formula>NOT(ISERROR(SEARCH("fail",AE26)))</formula>
    </cfRule>
    <cfRule type="containsText" priority="103" operator="containsText" dxfId="0" text="pass">
      <formula>NOT(ISERROR(SEARCH("pass",AE26)))</formula>
    </cfRule>
  </conditionalFormatting>
  <conditionalFormatting sqref="AE16:AM17">
    <cfRule type="containsText" priority="1" operator="containsText" dxfId="2" text="block">
      <formula>NOT(ISERROR(SEARCH("block",AE16)))</formula>
    </cfRule>
    <cfRule type="containsText" priority="2" operator="containsText" dxfId="2" text="NA">
      <formula>NOT(ISERROR(SEARCH("NA",AE16)))</formula>
    </cfRule>
    <cfRule type="containsText" priority="3" operator="containsText" dxfId="1" text="fail">
      <formula>NOT(ISERROR(SEARCH("fail",AE16)))</formula>
    </cfRule>
    <cfRule type="containsText" priority="4" operator="containsText" dxfId="0" text="pass">
      <formula>NOT(ISERROR(SEARCH("pass",AE16)))</formula>
    </cfRule>
  </conditionalFormatting>
  <conditionalFormatting sqref="AE11:AM11 AE13:AM14 AE18:AM19 AE22:AM22">
    <cfRule type="containsText" priority="96" operator="containsText" dxfId="2" text="block">
      <formula>NOT(ISERROR(SEARCH("block",AE11)))</formula>
    </cfRule>
    <cfRule type="containsText" priority="97" operator="containsText" dxfId="2" text="NA">
      <formula>NOT(ISERROR(SEARCH("NA",AE11)))</formula>
    </cfRule>
  </conditionalFormatting>
  <conditionalFormatting sqref="AE18:AM19 AE22:AM22">
    <cfRule type="containsText" priority="98" operator="containsText" dxfId="1" text="fail">
      <formula>NOT(ISERROR(SEARCH("fail",AE18)))</formula>
    </cfRule>
    <cfRule type="containsText" priority="99" operator="containsText" dxfId="0" text="pass">
      <formula>NOT(ISERROR(SEARCH("pass",AE18)))</formula>
    </cfRule>
  </conditionalFormatting>
  <conditionalFormatting sqref="AE20:AM21">
    <cfRule type="containsText" priority="39" operator="containsText" dxfId="2" text="block">
      <formula>NOT(ISERROR(SEARCH("block",AE20)))</formula>
    </cfRule>
    <cfRule type="containsText" priority="40" operator="containsText" dxfId="2" text="NA">
      <formula>NOT(ISERROR(SEARCH("NA",AE20)))</formula>
    </cfRule>
    <cfRule type="containsText" priority="41" operator="containsText" dxfId="1" text="fail">
      <formula>NOT(ISERROR(SEARCH("fail",AE20)))</formula>
    </cfRule>
    <cfRule type="containsText" priority="42" operator="containsText" dxfId="0" text="pass">
      <formula>NOT(ISERROR(SEARCH("pass",AE20)))</formula>
    </cfRule>
  </conditionalFormatting>
  <conditionalFormatting sqref="AE23:AM25">
    <cfRule type="containsText" priority="5" operator="containsText" dxfId="2" text="block">
      <formula>NOT(ISERROR(SEARCH("block",AE23)))</formula>
    </cfRule>
    <cfRule type="containsText" priority="6" operator="containsText" dxfId="2" text="NA">
      <formula>NOT(ISERROR(SEARCH("NA",AE23)))</formula>
    </cfRule>
    <cfRule type="containsText" priority="7" operator="containsText" dxfId="1" text="fail">
      <formula>NOT(ISERROR(SEARCH("fail",AE23)))</formula>
    </cfRule>
    <cfRule type="containsText" priority="8" operator="containsText" dxfId="0" text="pass">
      <formula>NOT(ISERROR(SEARCH("pass",AE23)))</formula>
    </cfRule>
  </conditionalFormatting>
  <conditionalFormatting sqref="AE29:AM29">
    <cfRule type="containsText" priority="51" operator="containsText" dxfId="2" text="block">
      <formula>NOT(ISERROR(SEARCH("block",AE29)))</formula>
    </cfRule>
    <cfRule type="containsText" priority="52" operator="containsText" dxfId="2" text="NA">
      <formula>NOT(ISERROR(SEARCH("NA",AE29)))</formula>
    </cfRule>
  </conditionalFormatting>
  <conditionalFormatting sqref="AF2:AM9">
    <cfRule type="containsText" priority="9" operator="containsText" dxfId="2" text="block">
      <formula>NOT(ISERROR(SEARCH("block",AF2)))</formula>
    </cfRule>
    <cfRule type="containsText" priority="10" operator="containsText" dxfId="2" text="NA">
      <formula>NOT(ISERROR(SEARCH("NA",AF2)))</formula>
    </cfRule>
    <cfRule type="containsText" priority="11" operator="containsText" dxfId="1" text="fail">
      <formula>NOT(ISERROR(SEARCH("fail",AF2)))</formula>
    </cfRule>
    <cfRule type="containsText" priority="12" operator="containsText" dxfId="0" text="pass">
      <formula>NOT(ISERROR(SEARCH("pass",AF2)))</formula>
    </cfRule>
  </conditionalFormatting>
  <conditionalFormatting sqref="AE27:AM27 AE29:AM30 AE32:AM33 AF10:AM11 AF26:AM28">
    <cfRule type="containsText" priority="152" operator="containsText" dxfId="2" text="block">
      <formula>NOT(ISERROR(SEARCH("block",AE10)))</formula>
    </cfRule>
    <cfRule type="containsText" priority="153" operator="containsText" dxfId="2" text="NA">
      <formula>NOT(ISERROR(SEARCH("NA",AE10)))</formula>
    </cfRule>
  </conditionalFormatting>
  <conditionalFormatting sqref="AE11:AM11 AE13:AM14 AE27:AM27 AE29:AM30 AE32:AM33 AF10:AM12 AF15:AM15 AF26:AM28 AF31:AM32">
    <cfRule type="containsText" priority="155" operator="containsText" dxfId="0" text="pass">
      <formula>NOT(ISERROR(SEARCH("pass",AE10)))</formula>
    </cfRule>
    <cfRule type="containsText" priority="154" operator="containsText" dxfId="1" text="fail">
      <formula>NOT(ISERROR(SEARCH("fail",AE10)))</formula>
    </cfRule>
  </conditionalFormatting>
  <conditionalFormatting sqref="AF11:AM11">
    <cfRule type="containsText" priority="90" operator="containsText" dxfId="1" text="fail">
      <formula>NOT(ISERROR(SEARCH("fail",AF11)))</formula>
    </cfRule>
    <cfRule type="containsText" priority="91" operator="containsText" dxfId="0" text="pass">
      <formula>NOT(ISERROR(SEARCH("pass",AF11)))</formula>
    </cfRule>
  </conditionalFormatting>
  <conditionalFormatting sqref="AF11:AM12">
    <cfRule type="containsText" priority="88" operator="containsText" dxfId="2" text="block">
      <formula>NOT(ISERROR(SEARCH("block",AF11)))</formula>
    </cfRule>
    <cfRule type="containsText" priority="89" operator="containsText" dxfId="2" text="NA">
      <formula>NOT(ISERROR(SEARCH("NA",AF11)))</formula>
    </cfRule>
  </conditionalFormatting>
  <conditionalFormatting sqref="AF14:AM14">
    <cfRule type="containsText" priority="66" operator="containsText" dxfId="2" text="block">
      <formula>NOT(ISERROR(SEARCH("block",AF14)))</formula>
    </cfRule>
    <cfRule type="containsText" priority="67" operator="containsText" dxfId="2" text="NA">
      <formula>NOT(ISERROR(SEARCH("NA",AF14)))</formula>
    </cfRule>
    <cfRule type="containsText" priority="68" operator="containsText" dxfId="1" text="fail">
      <formula>NOT(ISERROR(SEARCH("fail",AF14)))</formula>
    </cfRule>
    <cfRule type="containsText" priority="69" operator="containsText" dxfId="0" text="pass">
      <formula>NOT(ISERROR(SEARCH("pass",AF14)))</formula>
    </cfRule>
  </conditionalFormatting>
  <conditionalFormatting sqref="AF14:AM15">
    <cfRule type="containsText" priority="70" operator="containsText" dxfId="2" text="block">
      <formula>NOT(ISERROR(SEARCH("block",AF14)))</formula>
    </cfRule>
    <cfRule type="containsText" priority="71" operator="containsText" dxfId="2" text="NA">
      <formula>NOT(ISERROR(SEARCH("NA",AF14)))</formula>
    </cfRule>
  </conditionalFormatting>
  <conditionalFormatting sqref="AF27:AM27">
    <cfRule type="containsText" priority="82" operator="containsText" dxfId="1" text="fail">
      <formula>NOT(ISERROR(SEARCH("fail",AF27)))</formula>
    </cfRule>
    <cfRule type="containsText" priority="83" operator="containsText" dxfId="0" text="pass">
      <formula>NOT(ISERROR(SEARCH("pass",AF27)))</formula>
    </cfRule>
  </conditionalFormatting>
  <conditionalFormatting sqref="AF27:AM28">
    <cfRule type="containsText" priority="37" operator="containsText" dxfId="2" text="block">
      <formula>NOT(ISERROR(SEARCH("block",AF27)))</formula>
    </cfRule>
    <cfRule type="containsText" priority="38" operator="containsText" dxfId="2" text="NA">
      <formula>NOT(ISERROR(SEARCH("NA",AF27)))</formula>
    </cfRule>
  </conditionalFormatting>
  <conditionalFormatting sqref="AF30:AM30">
    <cfRule type="containsText" priority="78" operator="containsText" dxfId="1" text="fail">
      <formula>NOT(ISERROR(SEARCH("fail",AF30)))</formula>
    </cfRule>
    <cfRule type="containsText" priority="79" operator="containsText" dxfId="0" text="pass">
      <formula>NOT(ISERROR(SEARCH("pass",AF30)))</formula>
    </cfRule>
  </conditionalFormatting>
  <conditionalFormatting sqref="AF30:AM32">
    <cfRule type="containsText" priority="13" operator="containsText" dxfId="2" text="block">
      <formula>NOT(ISERROR(SEARCH("block",AF30)))</formula>
    </cfRule>
    <cfRule type="containsText" priority="14" operator="containsText" dxfId="2" text="NA">
      <formula>NOT(ISERROR(SEARCH("NA",AF30)))</formula>
    </cfRule>
  </conditionalFormatting>
  <conditionalFormatting sqref="AG11:AL16">
    <cfRule type="containsText" priority="180" operator="containsText" dxfId="2" text="block">
      <formula>NOT(ISERROR(SEARCH("block",AG11)))</formula>
    </cfRule>
    <cfRule type="containsText" priority="181" operator="containsText" dxfId="2" text="NA">
      <formula>NOT(ISERROR(SEARCH("NA",AG11)))</formula>
    </cfRule>
    <cfRule type="containsText" priority="182" operator="containsText" dxfId="1" text="fail">
      <formula>NOT(ISERROR(SEARCH("fail",AG11)))</formula>
    </cfRule>
    <cfRule type="containsText" priority="183" operator="containsText" dxfId="0" text="pass">
      <formula>NOT(ISERROR(SEARCH("pass",AG11)))</formula>
    </cfRule>
  </conditionalFormatting>
  <conditionalFormatting sqref="AG29:AL29">
    <cfRule type="containsText" priority="55" operator="containsText" dxfId="1" text="fail">
      <formula>NOT(ISERROR(SEARCH("fail",AG29)))</formula>
    </cfRule>
    <cfRule type="containsText" priority="56" operator="containsText" dxfId="0" text="pass">
      <formula>NOT(ISERROR(SEARCH("pass",AG29)))</formula>
    </cfRule>
  </conditionalFormatting>
  <conditionalFormatting sqref="AG10:AM10">
    <cfRule type="containsText" priority="127" operator="containsText" dxfId="2" text="block">
      <formula>NOT(ISERROR(SEARCH("block",AG10)))</formula>
    </cfRule>
    <cfRule type="containsText" priority="128" operator="containsText" dxfId="2" text="NA">
      <formula>NOT(ISERROR(SEARCH("NA",AG10)))</formula>
    </cfRule>
    <cfRule type="containsText" priority="129" operator="containsText" dxfId="1" text="fail">
      <formula>NOT(ISERROR(SEARCH("fail",AG10)))</formula>
    </cfRule>
    <cfRule type="containsText" priority="130" operator="containsText" dxfId="0" text="pass">
      <formula>NOT(ISERROR(SEARCH("pass",AG10)))</formula>
    </cfRule>
  </conditionalFormatting>
  <conditionalFormatting sqref="AJ18:AJ19">
    <cfRule type="containsText" priority="92" operator="containsText" dxfId="2" text="block">
      <formula>NOT(ISERROR(SEARCH("block",AJ18)))</formula>
    </cfRule>
    <cfRule type="containsText" priority="93" operator="containsText" dxfId="2" text="NA">
      <formula>NOT(ISERROR(SEARCH("NA",AJ18)))</formula>
    </cfRule>
    <cfRule type="containsText" priority="94" operator="containsText" dxfId="1" text="fail">
      <formula>NOT(ISERROR(SEARCH("fail",AJ18)))</formula>
    </cfRule>
    <cfRule type="containsText" priority="95" operator="containsText" dxfId="0" text="pass">
      <formula>NOT(ISERROR(SEARCH("pass",AJ18)))</formula>
    </cfRule>
  </conditionalFormatting>
  <conditionalFormatting sqref="AJ22">
    <cfRule type="containsText" priority="72" operator="containsText" dxfId="2" text="block">
      <formula>NOT(ISERROR(SEARCH("block",AJ22)))</formula>
    </cfRule>
    <cfRule type="containsText" priority="73" operator="containsText" dxfId="2" text="NA">
      <formula>NOT(ISERROR(SEARCH("NA",AJ22)))</formula>
    </cfRule>
    <cfRule type="containsText" priority="74" operator="containsText" dxfId="1" text="fail">
      <formula>NOT(ISERROR(SEARCH("fail",AJ22)))</formula>
    </cfRule>
    <cfRule type="containsText" priority="75" operator="containsText" dxfId="0" text="pass">
      <formula>NOT(ISERROR(SEARCH("pass",AJ22)))</formula>
    </cfRule>
  </conditionalFormatting>
  <conditionalFormatting sqref="AM26">
    <cfRule type="containsText" priority="84" operator="containsText" dxfId="2" text="block">
      <formula>NOT(ISERROR(SEARCH("block",AM26)))</formula>
    </cfRule>
    <cfRule type="containsText" priority="85" operator="containsText" dxfId="2" text="NA">
      <formula>NOT(ISERROR(SEARCH("NA",AM26)))</formula>
    </cfRule>
    <cfRule type="containsText" priority="86" operator="containsText" dxfId="1" text="fail">
      <formula>NOT(ISERROR(SEARCH("fail",AM26)))</formula>
    </cfRule>
    <cfRule type="containsText" priority="87" operator="containsText" dxfId="0" text="pass">
      <formula>NOT(ISERROR(SEARCH("pass",AM26)))</formula>
    </cfRule>
  </conditionalFormatting>
  <conditionalFormatting sqref="AN2:AN33">
    <cfRule type="cellIs" priority="65" operator="between" dxfId="143">
      <formula>0.8</formula>
      <formula>0.99</formula>
    </cfRule>
    <cfRule type="cellIs" priority="193" operator="lessThan" dxfId="1">
      <formula>0.79</formula>
    </cfRule>
    <cfRule type="cellIs" priority="194" operator="equal" dxfId="0">
      <formula>1</formula>
    </cfRule>
  </conditionalFormatting>
  <conditionalFormatting sqref="AQ2:AQ24 AQ26:AQ33">
    <cfRule type="containsText" priority="192" operator="containsText" dxfId="70" text="NA">
      <formula>NOT(ISERROR(SEARCH("NA",AQ2)))</formula>
    </cfRule>
  </conditionalFormatting>
  <conditionalFormatting sqref="AQ2:AQ33">
    <cfRule type="containsBlanks" priority="190" dxfId="69">
      <formula>LEN(TRIM(AQ2))=0</formula>
    </cfRule>
    <cfRule type="notContainsText" priority="191" operator="notContains" dxfId="1" text="NA">
      <formula>ISERROR(SEARCH("NA",AQ2))</formula>
    </cfRule>
  </conditionalFormatting>
  <dataValidations count="10">
    <dataValidation sqref="Y2:Y33" showDropDown="0" showInputMessage="1" showErrorMessage="1" allowBlank="1" type="list">
      <formula1>"0,2,4,6"</formula1>
    </dataValidation>
    <dataValidation sqref="V2:V33" showDropDown="0" showInputMessage="1" showErrorMessage="1" allowBlank="1" type="list">
      <formula1>"x16,x8x8"</formula1>
    </dataValidation>
    <dataValidation sqref="AB2:AB33" showDropDown="0" showInputMessage="1" showErrorMessage="1" allowBlank="1" type="list">
      <formula1>"2,3,NA"</formula1>
    </dataValidation>
    <dataValidation sqref="W2:W33" showDropDown="0" showInputMessage="1" showErrorMessage="1" allowBlank="1" type="list">
      <formula1>"CX8,E1.S"</formula1>
    </dataValidation>
    <dataValidation sqref="AE2:AM33" showDropDown="0" showInputMessage="1" showErrorMessage="1" allowBlank="1" type="list">
      <formula1>"PASS,FAIL,Block,NA"</formula1>
    </dataValidation>
    <dataValidation sqref="X2:X33" showDropDown="0" showInputMessage="1" showErrorMessage="1" allowBlank="1" type="list">
      <formula1>"pxp1,pxp3,pxp4,pxp9,pxp11,pxp12"</formula1>
    </dataValidation>
    <dataValidation sqref="T2:U33" showDropDown="0" showInputMessage="1" showErrorMessage="1" allowBlank="1" type="list">
      <formula1>"Gen5,Gen6"</formula1>
    </dataValidation>
    <dataValidation sqref="U2:U33" showDropDown="0" showInputMessage="1" showErrorMessage="1" allowBlank="1" type="list">
      <formula1>"LTSSM,SMV_Margin"</formula1>
    </dataValidation>
    <dataValidation sqref="AA2:AA33" showDropDown="0" showInputMessage="1" showErrorMessage="1" allowBlank="1" type="list">
      <formula1>"1000,3"</formula1>
    </dataValidation>
    <dataValidation sqref="AC2:AC33" showDropDown="0" showInputMessage="1" showErrorMessage="1" allowBlank="1" type="list">
      <formula1>"3,NA"</formula1>
    </dataValidation>
  </dataValidations>
  <hyperlinks>
    <hyperlink xmlns:r="http://schemas.openxmlformats.org/officeDocument/2006/relationships" ref="Z2" location="/article/15019294522" display="https://hsdes.intel.com/appstore/article-one/ - /article/15019294522" r:id="rId1"/>
    <hyperlink xmlns:r="http://schemas.openxmlformats.org/officeDocument/2006/relationships" ref="AP2" r:id="rId2"/>
    <hyperlink xmlns:r="http://schemas.openxmlformats.org/officeDocument/2006/relationships" ref="Z3" location="/article/15019301806" display="https://hsdes.intel.com/appstore/article-one/ - /article/15019301806" r:id="rId3"/>
    <hyperlink xmlns:r="http://schemas.openxmlformats.org/officeDocument/2006/relationships" ref="AP3" r:id="rId4"/>
    <hyperlink xmlns:r="http://schemas.openxmlformats.org/officeDocument/2006/relationships" ref="AP4" r:id="rId5"/>
    <hyperlink xmlns:r="http://schemas.openxmlformats.org/officeDocument/2006/relationships" ref="AP5" r:id="rId6"/>
    <hyperlink xmlns:r="http://schemas.openxmlformats.org/officeDocument/2006/relationships" ref="AP6" r:id="rId7"/>
    <hyperlink xmlns:r="http://schemas.openxmlformats.org/officeDocument/2006/relationships" ref="AP7" r:id="rId8"/>
    <hyperlink xmlns:r="http://schemas.openxmlformats.org/officeDocument/2006/relationships" ref="AP8" r:id="rId9"/>
    <hyperlink xmlns:r="http://schemas.openxmlformats.org/officeDocument/2006/relationships" ref="AP9" r:id="rId10"/>
    <hyperlink xmlns:r="http://schemas.openxmlformats.org/officeDocument/2006/relationships" ref="Z10" location="/article/15019294637" display="https://hsdes.intel.com/appstore/article-one/ - /article/15019294637" r:id="rId11"/>
    <hyperlink xmlns:r="http://schemas.openxmlformats.org/officeDocument/2006/relationships" ref="AP10" r:id="rId12"/>
    <hyperlink xmlns:r="http://schemas.openxmlformats.org/officeDocument/2006/relationships" ref="Z11" location="/article/15019302214" display="https://hsdes.intel.com/appstore/article-one/ - /article/15019302214" r:id="rId13"/>
    <hyperlink xmlns:r="http://schemas.openxmlformats.org/officeDocument/2006/relationships" ref="AP11" r:id="rId14"/>
    <hyperlink xmlns:r="http://schemas.openxmlformats.org/officeDocument/2006/relationships" ref="AP12" r:id="rId15"/>
    <hyperlink xmlns:r="http://schemas.openxmlformats.org/officeDocument/2006/relationships" ref="AP13" r:id="rId16"/>
    <hyperlink xmlns:r="http://schemas.openxmlformats.org/officeDocument/2006/relationships" ref="AP14" r:id="rId17"/>
    <hyperlink xmlns:r="http://schemas.openxmlformats.org/officeDocument/2006/relationships" ref="AP15" r:id="rId18"/>
    <hyperlink xmlns:r="http://schemas.openxmlformats.org/officeDocument/2006/relationships" ref="AP16" r:id="rId19"/>
    <hyperlink xmlns:r="http://schemas.openxmlformats.org/officeDocument/2006/relationships" ref="AP17" r:id="rId20"/>
    <hyperlink xmlns:r="http://schemas.openxmlformats.org/officeDocument/2006/relationships" ref="Z18" location="/article/15019294571" display="https://hsdes.intel.com/appstore/article-one/ - /article/15019294571" r:id="rId21"/>
    <hyperlink xmlns:r="http://schemas.openxmlformats.org/officeDocument/2006/relationships" ref="AP18" r:id="rId22"/>
    <hyperlink xmlns:r="http://schemas.openxmlformats.org/officeDocument/2006/relationships" ref="Z19" location="/article/15019302203" display="https://hsdes.intel.com/appstore/article-one/ - /article/15019302203" r:id="rId23"/>
    <hyperlink xmlns:r="http://schemas.openxmlformats.org/officeDocument/2006/relationships" ref="AP19" r:id="rId24"/>
    <hyperlink xmlns:r="http://schemas.openxmlformats.org/officeDocument/2006/relationships" ref="AP20" r:id="rId25"/>
    <hyperlink xmlns:r="http://schemas.openxmlformats.org/officeDocument/2006/relationships" ref="AP21" r:id="rId26"/>
    <hyperlink xmlns:r="http://schemas.openxmlformats.org/officeDocument/2006/relationships" ref="AP22" r:id="rId27"/>
    <hyperlink xmlns:r="http://schemas.openxmlformats.org/officeDocument/2006/relationships" ref="AP23" r:id="rId28"/>
    <hyperlink xmlns:r="http://schemas.openxmlformats.org/officeDocument/2006/relationships" ref="AP24" r:id="rId29"/>
    <hyperlink xmlns:r="http://schemas.openxmlformats.org/officeDocument/2006/relationships" ref="AP25" r:id="rId30"/>
    <hyperlink xmlns:r="http://schemas.openxmlformats.org/officeDocument/2006/relationships" ref="Z26" location="/article/15019294668" display="https://hsdes.intel.com/appstore/article-one/ - /article/15019294668" r:id="rId31"/>
    <hyperlink xmlns:r="http://schemas.openxmlformats.org/officeDocument/2006/relationships" ref="AP26" r:id="rId32"/>
    <hyperlink xmlns:r="http://schemas.openxmlformats.org/officeDocument/2006/relationships" ref="Z27" location="/article/15019302215" display="https://hsdes.intel.com/appstore/article-one/ - /article/15019302215" r:id="rId33"/>
    <hyperlink xmlns:r="http://schemas.openxmlformats.org/officeDocument/2006/relationships" ref="AP27" r:id="rId34"/>
    <hyperlink xmlns:r="http://schemas.openxmlformats.org/officeDocument/2006/relationships" ref="AP28" r:id="rId35"/>
    <hyperlink xmlns:r="http://schemas.openxmlformats.org/officeDocument/2006/relationships" ref="AP29" r:id="rId36"/>
    <hyperlink xmlns:r="http://schemas.openxmlformats.org/officeDocument/2006/relationships" ref="AP30" r:id="rId37"/>
    <hyperlink xmlns:r="http://schemas.openxmlformats.org/officeDocument/2006/relationships" ref="AP31" r:id="rId38"/>
    <hyperlink xmlns:r="http://schemas.openxmlformats.org/officeDocument/2006/relationships" ref="AP32" r:id="rId39"/>
    <hyperlink xmlns:r="http://schemas.openxmlformats.org/officeDocument/2006/relationships" ref="AP33" r:id="rId40"/>
  </hyperlink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filterMode="1">
    <tabColor theme="8" tint="0.7999816888943144"/>
    <outlinePr summaryBelow="0"/>
    <pageSetUpPr/>
  </sheetPr>
  <dimension ref="A1:AK53"/>
  <sheetViews>
    <sheetView zoomScale="85" zoomScaleNormal="85" workbookViewId="0">
      <pane xSplit="34" ySplit="1" topLeftCell="AI7" activePane="bottomRight" state="frozen"/>
      <selection pane="topRight" activeCell="AA1" sqref="AA1"/>
      <selection pane="bottomLeft" activeCell="A2" sqref="A2"/>
      <selection pane="bottomRight" activeCell="AG1" sqref="AG1:AG1048576"/>
    </sheetView>
  </sheetViews>
  <sheetFormatPr baseColWidth="8" defaultRowHeight="14.5"/>
  <cols>
    <col hidden="1" width="8.81640625" customWidth="1" style="14" min="1" max="3"/>
    <col hidden="1" width="10.1796875" customWidth="1" style="14" min="4" max="4"/>
    <col hidden="1" width="13.54296875" customWidth="1" style="14" min="5" max="5"/>
    <col hidden="1" width="15.54296875" customWidth="1" style="14" min="6" max="6"/>
    <col hidden="1" width="17.453125" customWidth="1" style="14" min="7" max="7"/>
    <col hidden="1" width="10.54296875" customWidth="1" style="14" min="8" max="8"/>
    <col hidden="1" width="20.7265625" customWidth="1" style="14" min="9" max="9"/>
    <col hidden="1" width="8.81640625" customWidth="1" style="14" min="10" max="12"/>
    <col width="9.1796875" customWidth="1" style="14" min="13" max="13"/>
    <col width="13.1796875" customWidth="1" style="14" min="14" max="14"/>
    <col width="11" customWidth="1" style="14" min="15" max="15"/>
    <col width="16.81640625" customWidth="1" style="14" min="16" max="16"/>
    <col width="9.1796875" customWidth="1" style="14" min="17" max="18"/>
    <col width="13.1796875" customWidth="1" style="14" min="19" max="19"/>
    <col width="13" customWidth="1" style="14" min="20" max="20"/>
    <col width="6.81640625" customWidth="1" style="14" min="21" max="21"/>
    <col width="9.54296875" customWidth="1" style="14" min="22" max="22"/>
    <col width="11.81640625" customWidth="1" style="14" min="23" max="23"/>
    <col width="15.1796875" customWidth="1" style="14" min="24" max="32"/>
    <col width="9.54296875" customWidth="1" style="14" min="33" max="33"/>
    <col width="11.1796875" customWidth="1" style="14" min="34" max="34"/>
    <col width="14.81640625" customWidth="1" style="14" min="35" max="35"/>
    <col width="33.453125" customWidth="1" style="14" min="36" max="36"/>
    <col width="34.1796875" customWidth="1" style="14" min="37" max="37"/>
  </cols>
  <sheetData>
    <row r="1" ht="30" customFormat="1" customHeight="1" s="7">
      <c r="A1" s="27" t="inlineStr">
        <is>
          <t>原始序列</t>
        </is>
      </c>
      <c r="B1" s="27" t="inlineStr">
        <is>
          <t xml:space="preserve">ID </t>
        </is>
      </c>
      <c r="C1" s="27" t="inlineStr">
        <is>
          <t>父 ID</t>
        </is>
      </c>
      <c r="D1" s="27" t="inlineStr">
        <is>
          <t>Level</t>
        </is>
      </c>
      <c r="E1" s="21" t="inlineStr">
        <is>
          <t>Board</t>
        </is>
      </c>
      <c r="F1" s="21" t="inlineStr">
        <is>
          <t>Board Name</t>
        </is>
      </c>
      <c r="G1" s="21" t="inlineStr">
        <is>
          <t>PPIN</t>
        </is>
      </c>
      <c r="H1" s="21" t="inlineStr">
        <is>
          <t>QDF</t>
        </is>
      </c>
      <c r="I1" s="21" t="inlineStr">
        <is>
          <t>Memory P/N</t>
        </is>
      </c>
      <c r="J1" s="21" t="inlineStr">
        <is>
          <t>BIOS</t>
        </is>
      </c>
      <c r="K1" s="21" t="inlineStr">
        <is>
          <t>BMC</t>
        </is>
      </c>
      <c r="L1" s="21" t="inlineStr">
        <is>
          <t>CPLD</t>
        </is>
      </c>
      <c r="M1" s="21" t="inlineStr">
        <is>
          <t>Gen#</t>
        </is>
      </c>
      <c r="N1" s="21" t="inlineStr">
        <is>
          <t>Test</t>
        </is>
      </c>
      <c r="O1" s="22" t="inlineStr">
        <is>
          <t>Bifurcation</t>
        </is>
      </c>
      <c r="P1" s="22" t="inlineStr">
        <is>
          <t>PCIE</t>
        </is>
      </c>
      <c r="Q1" s="21" t="inlineStr">
        <is>
          <t>Pxpstr</t>
        </is>
      </c>
      <c r="R1" s="21" t="inlineStr">
        <is>
          <t>Portno</t>
        </is>
      </c>
      <c r="S1" s="21" t="inlineStr">
        <is>
          <t>WO#</t>
        </is>
      </c>
      <c r="T1" s="21" t="inlineStr">
        <is>
          <t>iteration</t>
        </is>
      </c>
      <c r="U1" s="21" t="inlineStr">
        <is>
          <t>reset</t>
        </is>
      </c>
      <c r="V1" s="21" t="inlineStr">
        <is>
          <t>resetType</t>
        </is>
      </c>
      <c r="W1" s="20" t="inlineStr">
        <is>
          <t>Test Duration</t>
        </is>
      </c>
      <c r="X1" s="21" t="inlineStr">
        <is>
          <t>Result/Margin</t>
        </is>
      </c>
      <c r="Y1" s="21" t="inlineStr">
        <is>
          <t>retrain</t>
        </is>
      </c>
      <c r="Z1" s="21" t="inlineStr">
        <is>
          <t>speedchange_all</t>
        </is>
      </c>
      <c r="AA1" s="21" t="inlineStr">
        <is>
          <t>speedchange_max</t>
        </is>
      </c>
      <c r="AB1" s="21" t="inlineStr">
        <is>
          <t>txeqredo</t>
        </is>
      </c>
      <c r="AC1" s="21" t="inlineStr">
        <is>
          <t>pml1_disable</t>
        </is>
      </c>
      <c r="AD1" s="21" t="inlineStr">
        <is>
          <t>sbr</t>
        </is>
      </c>
      <c r="AE1" s="21" t="inlineStr">
        <is>
          <t>link_disable</t>
        </is>
      </c>
      <c r="AF1" s="21" t="inlineStr">
        <is>
          <t>pml1_enable</t>
        </is>
      </c>
      <c r="AG1" s="22" t="inlineStr">
        <is>
          <t>Failed 
iterations</t>
        </is>
      </c>
      <c r="AH1" s="21" t="inlineStr">
        <is>
          <t>Fail rate</t>
        </is>
      </c>
      <c r="AI1" s="21" t="inlineStr">
        <is>
          <t>HSD#</t>
        </is>
      </c>
      <c r="AJ1" s="21" t="inlineStr">
        <is>
          <t>Log Link</t>
        </is>
      </c>
      <c r="AK1" s="21" t="inlineStr">
        <is>
          <t>Comments</t>
        </is>
      </c>
    </row>
    <row r="2" hidden="1" ht="15" customHeight="1">
      <c r="A2" s="107" t="n">
        <v>1</v>
      </c>
      <c r="B2" s="107" t="inlineStr">
        <is>
          <t>1L1</t>
        </is>
      </c>
      <c r="C2" s="107" t="n">
        <v>0</v>
      </c>
      <c r="D2" s="107">
        <f>IF(C2=0,1,2)</f>
        <v/>
      </c>
      <c r="E2" s="107" t="inlineStr">
        <is>
          <t>Intel JNC2</t>
        </is>
      </c>
      <c r="F2" s="107" t="inlineStr">
        <is>
          <t>VAO254600036</t>
        </is>
      </c>
      <c r="G2" s="107" t="inlineStr">
        <is>
          <t>5772954CF1246B4E</t>
        </is>
      </c>
      <c r="H2" s="107" t="inlineStr">
        <is>
          <t>ES1/Q9WJ</t>
        </is>
      </c>
      <c r="I2" s="39" t="inlineStr">
        <is>
          <t>M321R4GA3PB1-CCPPC
00CE012332050091C9</t>
        </is>
      </c>
      <c r="J2" s="107" t="inlineStr">
        <is>
          <t>32D91</t>
        </is>
      </c>
      <c r="K2" s="26" t="inlineStr">
        <is>
          <t>oks-2026.07.2-g43a8af-5fe4f9b</t>
        </is>
      </c>
      <c r="L2" s="107" t="n"/>
      <c r="M2" s="107" t="inlineStr">
        <is>
          <t>Gen6</t>
        </is>
      </c>
      <c r="N2" s="107" t="inlineStr">
        <is>
          <t>LTSSM</t>
        </is>
      </c>
      <c r="O2" s="107" t="inlineStr">
        <is>
          <t>x16</t>
        </is>
      </c>
      <c r="P2" s="107" t="inlineStr">
        <is>
          <t>CX8</t>
        </is>
      </c>
      <c r="Q2" s="107" t="inlineStr">
        <is>
          <t>pxp1</t>
        </is>
      </c>
      <c r="R2" s="63" t="n">
        <v>0</v>
      </c>
      <c r="S2" s="105" t="n"/>
      <c r="T2" s="107" t="n">
        <v>1000</v>
      </c>
      <c r="U2" s="107" t="inlineStr">
        <is>
          <t>NA</t>
        </is>
      </c>
      <c r="V2" s="107" t="inlineStr">
        <is>
          <t>NA</t>
        </is>
      </c>
      <c r="W2" s="42" t="n">
        <v>0.1808449074074074</v>
      </c>
      <c r="X2" s="13" t="inlineStr">
        <is>
          <t>PASS</t>
        </is>
      </c>
      <c r="Y2" s="13" t="inlineStr">
        <is>
          <t>PASS</t>
        </is>
      </c>
      <c r="Z2" s="13" t="inlineStr">
        <is>
          <t>PASS</t>
        </is>
      </c>
      <c r="AA2" s="13" t="inlineStr">
        <is>
          <t>PASS</t>
        </is>
      </c>
      <c r="AB2" s="13" t="inlineStr">
        <is>
          <t>PASS</t>
        </is>
      </c>
      <c r="AC2" s="13" t="inlineStr">
        <is>
          <t>PASS</t>
        </is>
      </c>
      <c r="AD2" s="13" t="inlineStr">
        <is>
          <t>PASS</t>
        </is>
      </c>
      <c r="AE2" s="13" t="inlineStr">
        <is>
          <t>PASS</t>
        </is>
      </c>
      <c r="AF2" s="13" t="inlineStr">
        <is>
          <t>PASS</t>
        </is>
      </c>
      <c r="AG2" s="107" t="n">
        <v>0</v>
      </c>
      <c r="AH2" s="29">
        <f>AG2/T2</f>
        <v/>
      </c>
      <c r="AI2" s="107" t="n"/>
      <c r="AJ2" s="64" t="inlineStr">
        <is>
          <t>http://10.239.81.58/Xeon/NTA/PCIE/JNC2-dbgsh83/pxp1/LTSSM_Stress/</t>
        </is>
      </c>
      <c r="AK2" s="59" t="n"/>
    </row>
    <row r="3" hidden="1" ht="15" customHeight="1">
      <c r="A3" s="107" t="n">
        <v>2</v>
      </c>
      <c r="B3" s="107" t="inlineStr">
        <is>
          <t>1L3</t>
        </is>
      </c>
      <c r="C3" s="107" t="n">
        <v>0</v>
      </c>
      <c r="D3" s="107">
        <f>IF(C3=0,1,2)</f>
        <v/>
      </c>
      <c r="E3" s="107" t="inlineStr">
        <is>
          <t>Intel JNC2</t>
        </is>
      </c>
      <c r="F3" s="107" t="inlineStr">
        <is>
          <t>VAO254600036</t>
        </is>
      </c>
      <c r="G3" s="107" t="inlineStr">
        <is>
          <t>5772954CF1246B4E</t>
        </is>
      </c>
      <c r="H3" s="107" t="inlineStr">
        <is>
          <t>ES1/Q9WJ</t>
        </is>
      </c>
      <c r="I3" s="39" t="inlineStr">
        <is>
          <t>M321R4GA3PB1-CCPPC
00CE012332050091C9</t>
        </is>
      </c>
      <c r="J3" s="107" t="inlineStr">
        <is>
          <t>32D91</t>
        </is>
      </c>
      <c r="K3" s="26" t="inlineStr">
        <is>
          <t>oks-2026.07.2-g43a8af-5fe4f9b</t>
        </is>
      </c>
      <c r="L3" s="107" t="n"/>
      <c r="M3" s="107" t="inlineStr">
        <is>
          <t>Gen6</t>
        </is>
      </c>
      <c r="N3" s="107" t="inlineStr">
        <is>
          <t>LTSSM</t>
        </is>
      </c>
      <c r="O3" s="107" t="inlineStr">
        <is>
          <t>x16</t>
        </is>
      </c>
      <c r="P3" s="107" t="inlineStr">
        <is>
          <t>CX8</t>
        </is>
      </c>
      <c r="Q3" s="107" t="inlineStr">
        <is>
          <t>pxp3</t>
        </is>
      </c>
      <c r="R3" s="63" t="n">
        <v>0</v>
      </c>
      <c r="S3" s="105" t="n"/>
      <c r="T3" s="107" t="n">
        <v>1000</v>
      </c>
      <c r="U3" s="107" t="inlineStr">
        <is>
          <t>NA</t>
        </is>
      </c>
      <c r="V3" s="107" t="inlineStr">
        <is>
          <t>NA</t>
        </is>
      </c>
      <c r="W3" s="42" t="n">
        <v>0.1814583333333333</v>
      </c>
      <c r="X3" s="13" t="inlineStr">
        <is>
          <t>PASS</t>
        </is>
      </c>
      <c r="Y3" s="13" t="inlineStr">
        <is>
          <t>PASS</t>
        </is>
      </c>
      <c r="Z3" s="13" t="inlineStr">
        <is>
          <t>PASS</t>
        </is>
      </c>
      <c r="AA3" s="13" t="inlineStr">
        <is>
          <t>PASS</t>
        </is>
      </c>
      <c r="AB3" s="13" t="inlineStr">
        <is>
          <t>PASS</t>
        </is>
      </c>
      <c r="AC3" s="13" t="inlineStr">
        <is>
          <t>PASS</t>
        </is>
      </c>
      <c r="AD3" s="13" t="inlineStr">
        <is>
          <t>PASS</t>
        </is>
      </c>
      <c r="AE3" s="13" t="inlineStr">
        <is>
          <t>PASS</t>
        </is>
      </c>
      <c r="AF3" s="13" t="inlineStr">
        <is>
          <t>PASS</t>
        </is>
      </c>
      <c r="AG3" s="107" t="n">
        <v>0</v>
      </c>
      <c r="AH3" s="29">
        <f>AG3/T3</f>
        <v/>
      </c>
      <c r="AI3" s="107" t="n"/>
      <c r="AJ3" s="64" t="inlineStr">
        <is>
          <t>http://10.239.81.58/Xeon/NTA/PCIE/JNC2-dbgsh83/pxp3/LTSSM_Stress/</t>
        </is>
      </c>
      <c r="AK3" s="59" t="n"/>
    </row>
    <row r="4" hidden="1" ht="15" customHeight="1">
      <c r="A4" s="107" t="n">
        <v>3</v>
      </c>
      <c r="B4" s="107" t="inlineStr">
        <is>
          <t>1L4</t>
        </is>
      </c>
      <c r="C4" s="107" t="n">
        <v>0</v>
      </c>
      <c r="D4" s="107">
        <f>IF(C4=0,1,2)</f>
        <v/>
      </c>
      <c r="E4" s="107" t="inlineStr">
        <is>
          <t>Intel JNC2</t>
        </is>
      </c>
      <c r="F4" s="107" t="inlineStr">
        <is>
          <t>VAO254600036</t>
        </is>
      </c>
      <c r="G4" s="107" t="inlineStr">
        <is>
          <t>57729510C5D400E0</t>
        </is>
      </c>
      <c r="H4" s="107" t="inlineStr">
        <is>
          <t>ES1/Q9WJ</t>
        </is>
      </c>
      <c r="I4" s="39" t="inlineStr">
        <is>
          <t>M321R4GA3PB1-CCPPC
00CE012332050091C9</t>
        </is>
      </c>
      <c r="J4" s="107" t="inlineStr">
        <is>
          <t>32D91</t>
        </is>
      </c>
      <c r="K4" s="26" t="inlineStr">
        <is>
          <t>oks-2026.07.2-g43a8af-5fe4f9b</t>
        </is>
      </c>
      <c r="L4" s="107" t="n"/>
      <c r="M4" s="107" t="inlineStr">
        <is>
          <t>Gen6</t>
        </is>
      </c>
      <c r="N4" s="107" t="inlineStr">
        <is>
          <t>LTSSM</t>
        </is>
      </c>
      <c r="O4" s="107" t="inlineStr">
        <is>
          <t>x16</t>
        </is>
      </c>
      <c r="P4" s="107" t="inlineStr">
        <is>
          <t>CX8</t>
        </is>
      </c>
      <c r="Q4" s="107" t="inlineStr">
        <is>
          <t>pxp4</t>
        </is>
      </c>
      <c r="R4" s="63" t="n">
        <v>0</v>
      </c>
      <c r="S4" s="105" t="n"/>
      <c r="T4" s="107" t="n">
        <v>1000</v>
      </c>
      <c r="U4" s="107" t="inlineStr">
        <is>
          <t>NA</t>
        </is>
      </c>
      <c r="V4" s="107" t="inlineStr">
        <is>
          <t>NA</t>
        </is>
      </c>
      <c r="W4" s="42" t="n">
        <v>0.1854513888888889</v>
      </c>
      <c r="X4" s="13" t="inlineStr">
        <is>
          <t>PASS</t>
        </is>
      </c>
      <c r="Y4" s="13" t="inlineStr">
        <is>
          <t>PASS</t>
        </is>
      </c>
      <c r="Z4" s="13" t="inlineStr">
        <is>
          <t>PASS</t>
        </is>
      </c>
      <c r="AA4" s="13" t="inlineStr">
        <is>
          <t>PASS</t>
        </is>
      </c>
      <c r="AB4" s="13" t="inlineStr">
        <is>
          <t>PASS</t>
        </is>
      </c>
      <c r="AC4" s="13" t="inlineStr">
        <is>
          <t>PASS</t>
        </is>
      </c>
      <c r="AD4" s="13" t="inlineStr">
        <is>
          <t>PASS</t>
        </is>
      </c>
      <c r="AE4" s="13" t="inlineStr">
        <is>
          <t>PASS</t>
        </is>
      </c>
      <c r="AF4" s="13" t="inlineStr">
        <is>
          <t>PASS</t>
        </is>
      </c>
      <c r="AG4" s="107" t="n">
        <v>0</v>
      </c>
      <c r="AH4" s="29">
        <f>AG4/T4</f>
        <v/>
      </c>
      <c r="AI4" s="107" t="n"/>
      <c r="AJ4" s="64" t="inlineStr">
        <is>
          <t>http://10.239.81.58/Xeon/NTA/PCIE/JNC2-dbgsh83/pxp4/LTSSM_Stress/</t>
        </is>
      </c>
      <c r="AK4" s="59" t="n"/>
    </row>
    <row r="5" hidden="1" ht="15" customHeight="1">
      <c r="A5" s="107" t="n">
        <v>4</v>
      </c>
      <c r="B5" s="107" t="inlineStr">
        <is>
          <t>1L9</t>
        </is>
      </c>
      <c r="C5" s="107" t="n">
        <v>0</v>
      </c>
      <c r="D5" s="107">
        <f>IF(C5=0,1,2)</f>
        <v/>
      </c>
      <c r="E5" s="107" t="inlineStr">
        <is>
          <t>Intel JNC2</t>
        </is>
      </c>
      <c r="F5" s="107" t="inlineStr">
        <is>
          <t>VAO254600036</t>
        </is>
      </c>
      <c r="G5" s="107" t="inlineStr">
        <is>
          <t>5772954CF1246B4E</t>
        </is>
      </c>
      <c r="H5" s="107" t="inlineStr">
        <is>
          <t>ES1/Q9WJ</t>
        </is>
      </c>
      <c r="I5" s="39" t="inlineStr">
        <is>
          <t>M321R4GA3PB1-CCPPC
00CE012332050091C9</t>
        </is>
      </c>
      <c r="J5" s="107" t="inlineStr">
        <is>
          <t>32D91</t>
        </is>
      </c>
      <c r="K5" s="26" t="inlineStr">
        <is>
          <t>oks-2026.07.2-g43a8af-5fe4f9b</t>
        </is>
      </c>
      <c r="L5" s="107" t="n"/>
      <c r="M5" s="107" t="inlineStr">
        <is>
          <t>Gen6</t>
        </is>
      </c>
      <c r="N5" s="107" t="inlineStr">
        <is>
          <t>LTSSM</t>
        </is>
      </c>
      <c r="O5" s="107" t="inlineStr">
        <is>
          <t>x16</t>
        </is>
      </c>
      <c r="P5" s="107" t="inlineStr">
        <is>
          <t>CX8</t>
        </is>
      </c>
      <c r="Q5" s="107" t="inlineStr">
        <is>
          <t>pxp9</t>
        </is>
      </c>
      <c r="R5" s="63" t="n">
        <v>0</v>
      </c>
      <c r="S5" s="105" t="n"/>
      <c r="T5" s="107" t="n">
        <v>1000</v>
      </c>
      <c r="U5" s="107" t="inlineStr">
        <is>
          <t>NA</t>
        </is>
      </c>
      <c r="V5" s="107" t="inlineStr">
        <is>
          <t>NA</t>
        </is>
      </c>
      <c r="W5" s="42" t="n">
        <v>0.2482291666666667</v>
      </c>
      <c r="X5" s="13" t="inlineStr">
        <is>
          <t>PASS</t>
        </is>
      </c>
      <c r="Y5" s="13" t="inlineStr">
        <is>
          <t>PASS</t>
        </is>
      </c>
      <c r="Z5" s="13" t="inlineStr">
        <is>
          <t>PASS</t>
        </is>
      </c>
      <c r="AA5" s="13" t="inlineStr">
        <is>
          <t>PASS</t>
        </is>
      </c>
      <c r="AB5" s="13" t="inlineStr">
        <is>
          <t>PASS</t>
        </is>
      </c>
      <c r="AC5" s="13" t="inlineStr">
        <is>
          <t>PASS</t>
        </is>
      </c>
      <c r="AD5" s="13" t="inlineStr">
        <is>
          <t>PASS</t>
        </is>
      </c>
      <c r="AE5" s="13" t="inlineStr">
        <is>
          <t>PASS</t>
        </is>
      </c>
      <c r="AF5" s="13" t="inlineStr">
        <is>
          <t>PASS</t>
        </is>
      </c>
      <c r="AG5" s="107" t="n">
        <v>0</v>
      </c>
      <c r="AH5" s="29">
        <f>AG5/T5</f>
        <v/>
      </c>
      <c r="AI5" s="105" t="n"/>
      <c r="AJ5" s="64" t="inlineStr">
        <is>
          <t>http://10.239.81.58/Xeon/NTA/PCIE/JNC2-dbgsh83/pxp9/LTSSM_Stress/</t>
        </is>
      </c>
      <c r="AK5" s="59" t="n"/>
    </row>
    <row r="6" hidden="1" ht="15" customHeight="1">
      <c r="A6" s="107" t="n">
        <v>5</v>
      </c>
      <c r="B6" s="107" t="inlineStr">
        <is>
          <t>1L11</t>
        </is>
      </c>
      <c r="C6" s="107" t="n">
        <v>0</v>
      </c>
      <c r="D6" s="107">
        <f>IF(C6=0,1,2)</f>
        <v/>
      </c>
      <c r="E6" s="107" t="inlineStr">
        <is>
          <t>Intel JNC2</t>
        </is>
      </c>
      <c r="F6" s="107" t="inlineStr">
        <is>
          <t>VAO254600036</t>
        </is>
      </c>
      <c r="G6" s="107" t="inlineStr">
        <is>
          <t>57729510C5D400E0</t>
        </is>
      </c>
      <c r="H6" s="107" t="inlineStr">
        <is>
          <t>ES1/Q9WJ</t>
        </is>
      </c>
      <c r="I6" s="39" t="inlineStr">
        <is>
          <t>M321R4GA3PB1-CCPPC
00CE012332050091C9</t>
        </is>
      </c>
      <c r="J6" s="107" t="inlineStr">
        <is>
          <t>32D91</t>
        </is>
      </c>
      <c r="K6" s="26" t="inlineStr">
        <is>
          <t>oks-2026.07.2-g43a8af-5fe4f9b</t>
        </is>
      </c>
      <c r="L6" s="107" t="n"/>
      <c r="M6" s="107" t="inlineStr">
        <is>
          <t>Gen6</t>
        </is>
      </c>
      <c r="N6" s="107" t="inlineStr">
        <is>
          <t>LTSSM</t>
        </is>
      </c>
      <c r="O6" s="107" t="inlineStr">
        <is>
          <t>x16</t>
        </is>
      </c>
      <c r="P6" s="107" t="inlineStr">
        <is>
          <t>CX8</t>
        </is>
      </c>
      <c r="Q6" s="107" t="inlineStr">
        <is>
          <t>pxp11</t>
        </is>
      </c>
      <c r="R6" s="63" t="n">
        <v>0</v>
      </c>
      <c r="S6" s="105" t="n"/>
      <c r="T6" s="107" t="n">
        <v>1000</v>
      </c>
      <c r="U6" s="107" t="inlineStr">
        <is>
          <t>NA</t>
        </is>
      </c>
      <c r="V6" s="107" t="inlineStr">
        <is>
          <t>NA</t>
        </is>
      </c>
      <c r="W6" s="42" t="n">
        <v>0.249537037037037</v>
      </c>
      <c r="X6" s="13" t="inlineStr">
        <is>
          <t>FAIL</t>
        </is>
      </c>
      <c r="Y6" s="13" t="inlineStr">
        <is>
          <t>PASS</t>
        </is>
      </c>
      <c r="Z6" s="13" t="inlineStr">
        <is>
          <t>FAIL</t>
        </is>
      </c>
      <c r="AA6" s="13" t="inlineStr">
        <is>
          <t>PASS</t>
        </is>
      </c>
      <c r="AB6" s="13" t="inlineStr">
        <is>
          <t>PASS</t>
        </is>
      </c>
      <c r="AC6" s="13" t="inlineStr">
        <is>
          <t>PASS</t>
        </is>
      </c>
      <c r="AD6" s="13" t="inlineStr">
        <is>
          <t>FAIL</t>
        </is>
      </c>
      <c r="AE6" s="13" t="inlineStr">
        <is>
          <t>FAIL</t>
        </is>
      </c>
      <c r="AF6" s="13" t="inlineStr">
        <is>
          <t>PASS</t>
        </is>
      </c>
      <c r="AG6" s="107" t="n">
        <v>341</v>
      </c>
      <c r="AH6" s="29">
        <f>AG6/T6</f>
        <v/>
      </c>
      <c r="AI6" s="105" t="n"/>
      <c r="AJ6" s="64" t="inlineStr">
        <is>
          <t>http://10.239.81.58/Xeon/NTA/PCIE/JNC2-dbgsh83/pxp11/LTSSM_Stress/</t>
        </is>
      </c>
      <c r="AK6" s="57" t="inlineStr">
        <is>
          <t xml:space="preserve">pxp11.port0 has detected uncorrectable errors:
Uncorrectable Bridge Errors
LTSSM1 Bridge Errors
IBST Bridge Errors
</t>
        </is>
      </c>
    </row>
    <row r="7" ht="15" customHeight="1">
      <c r="A7" s="107" t="n">
        <v>6</v>
      </c>
      <c r="B7" s="107" t="inlineStr">
        <is>
          <t>1L1</t>
        </is>
      </c>
      <c r="C7" s="107" t="n">
        <v>0</v>
      </c>
      <c r="D7" s="107">
        <f>IF(C7=0,1,2)</f>
        <v/>
      </c>
      <c r="E7" s="107" t="inlineStr">
        <is>
          <t>Intel JNC2</t>
        </is>
      </c>
      <c r="F7" s="107" t="inlineStr">
        <is>
          <t>VAO254600036</t>
        </is>
      </c>
      <c r="G7" s="107" t="inlineStr">
        <is>
          <t>57729510C5D400E0</t>
        </is>
      </c>
      <c r="H7" s="107" t="inlineStr">
        <is>
          <t>ES1/Q9WJ</t>
        </is>
      </c>
      <c r="I7" s="39" t="inlineStr">
        <is>
          <t>M321R4GA3PB1-CCPPC
00CE012332050091C9</t>
        </is>
      </c>
      <c r="J7" s="107" t="inlineStr">
        <is>
          <t>32D91</t>
        </is>
      </c>
      <c r="K7" s="26" t="inlineStr">
        <is>
          <t>oks-2026.07.2-g43a8af-5fe4f9b</t>
        </is>
      </c>
      <c r="L7" s="107" t="n"/>
      <c r="M7" s="107" t="inlineStr">
        <is>
          <t>Gen6</t>
        </is>
      </c>
      <c r="N7" s="107" t="inlineStr">
        <is>
          <t>LTSSM</t>
        </is>
      </c>
      <c r="O7" s="107" t="inlineStr">
        <is>
          <t>x4x4x4x4</t>
        </is>
      </c>
      <c r="P7" s="107" t="inlineStr">
        <is>
          <t>E1.S</t>
        </is>
      </c>
      <c r="Q7" s="61" t="inlineStr">
        <is>
          <t>pxp1</t>
        </is>
      </c>
      <c r="R7" s="60" t="n">
        <v>0</v>
      </c>
      <c r="S7" s="105" t="n"/>
      <c r="T7" s="107" t="n">
        <v>1000</v>
      </c>
      <c r="U7" s="107" t="inlineStr">
        <is>
          <t>NA</t>
        </is>
      </c>
      <c r="V7" s="107" t="inlineStr">
        <is>
          <t>NA</t>
        </is>
      </c>
      <c r="W7" s="42" t="n">
        <v>0.165474537037037</v>
      </c>
      <c r="X7" s="13" t="inlineStr">
        <is>
          <t>FAIL</t>
        </is>
      </c>
      <c r="Y7" s="13" t="inlineStr">
        <is>
          <t>PASS</t>
        </is>
      </c>
      <c r="Z7" s="13" t="inlineStr">
        <is>
          <t>PASS</t>
        </is>
      </c>
      <c r="AA7" s="13" t="inlineStr">
        <is>
          <t>PASS</t>
        </is>
      </c>
      <c r="AB7" s="13" t="inlineStr">
        <is>
          <t>PASS</t>
        </is>
      </c>
      <c r="AC7" s="13" t="inlineStr">
        <is>
          <t>PASS</t>
        </is>
      </c>
      <c r="AD7" s="13" t="inlineStr">
        <is>
          <t>FAIL</t>
        </is>
      </c>
      <c r="AE7" s="13" t="inlineStr">
        <is>
          <t>FAIL</t>
        </is>
      </c>
      <c r="AF7" s="13" t="inlineStr">
        <is>
          <t>PASS</t>
        </is>
      </c>
      <c r="AG7" s="107" t="n"/>
      <c r="AH7" s="29" t="n"/>
      <c r="AI7" s="107" t="n"/>
      <c r="AJ7" s="64" t="inlineStr">
        <is>
          <t>http://10.239.81.58/Xeon/NTA/PCIE/JNC2-dbgsh83/pxp1_12_x4x4x4x4_E1.S/LTSSM_Stress/</t>
        </is>
      </c>
      <c r="AK7" s="59" t="n"/>
    </row>
    <row r="8" ht="15" customHeight="1">
      <c r="A8" s="107" t="n">
        <v>7</v>
      </c>
      <c r="B8" s="107" t="inlineStr">
        <is>
          <t>1L1</t>
        </is>
      </c>
      <c r="C8" s="107" t="n">
        <v>0</v>
      </c>
      <c r="D8" s="107">
        <f>IF(C8=0,1,2)</f>
        <v/>
      </c>
      <c r="E8" s="107" t="inlineStr">
        <is>
          <t>Intel JNC2</t>
        </is>
      </c>
      <c r="F8" s="107" t="inlineStr">
        <is>
          <t>VAO254600036</t>
        </is>
      </c>
      <c r="G8" s="107" t="inlineStr">
        <is>
          <t>57729510C5D400E0</t>
        </is>
      </c>
      <c r="H8" s="107" t="inlineStr">
        <is>
          <t>ES1/Q9WJ</t>
        </is>
      </c>
      <c r="I8" s="39" t="inlineStr">
        <is>
          <t>M321R4GA3PB1-CCPPC
00CE012332050091C9</t>
        </is>
      </c>
      <c r="J8" s="107" t="inlineStr">
        <is>
          <t>32D91</t>
        </is>
      </c>
      <c r="K8" s="26" t="inlineStr">
        <is>
          <t>oks-2026.07.2-g43a8af-5fe4f9b</t>
        </is>
      </c>
      <c r="L8" s="107" t="n"/>
      <c r="M8" s="107" t="inlineStr">
        <is>
          <t>Gen6</t>
        </is>
      </c>
      <c r="N8" s="107" t="inlineStr">
        <is>
          <t>LTSSM</t>
        </is>
      </c>
      <c r="O8" s="107" t="inlineStr">
        <is>
          <t>x4x4x4x4</t>
        </is>
      </c>
      <c r="P8" s="107" t="inlineStr">
        <is>
          <t>E1.S</t>
        </is>
      </c>
      <c r="Q8" s="61" t="inlineStr">
        <is>
          <t>pxp1</t>
        </is>
      </c>
      <c r="R8" s="60" t="n">
        <v>2</v>
      </c>
      <c r="S8" s="105" t="n"/>
      <c r="T8" s="107" t="n">
        <v>1000</v>
      </c>
      <c r="U8" s="107" t="inlineStr">
        <is>
          <t>NA</t>
        </is>
      </c>
      <c r="V8" s="107" t="inlineStr">
        <is>
          <t>NA</t>
        </is>
      </c>
      <c r="W8" s="42" t="n">
        <v>0.1655439814814815</v>
      </c>
      <c r="X8" s="13" t="inlineStr">
        <is>
          <t>FAIL</t>
        </is>
      </c>
      <c r="Y8" s="13" t="inlineStr">
        <is>
          <t>PASS</t>
        </is>
      </c>
      <c r="Z8" s="13" t="inlineStr">
        <is>
          <t>PASS</t>
        </is>
      </c>
      <c r="AA8" s="13" t="inlineStr">
        <is>
          <t>PASS</t>
        </is>
      </c>
      <c r="AB8" s="13" t="inlineStr">
        <is>
          <t>PASS</t>
        </is>
      </c>
      <c r="AC8" s="13" t="inlineStr">
        <is>
          <t>PASS</t>
        </is>
      </c>
      <c r="AD8" s="13" t="inlineStr">
        <is>
          <t>FAIL</t>
        </is>
      </c>
      <c r="AE8" s="13" t="inlineStr">
        <is>
          <t>FAIL</t>
        </is>
      </c>
      <c r="AF8" s="13" t="inlineStr">
        <is>
          <t>PASS</t>
        </is>
      </c>
      <c r="AG8" s="107" t="n"/>
      <c r="AH8" s="29" t="n"/>
      <c r="AI8" s="107" t="n"/>
      <c r="AJ8" s="64" t="inlineStr">
        <is>
          <t>http://10.239.81.58/Xeon/NTA/PCIE/JNC2-dbgsh83/pxp1_12_x4x4x4x4_E1.S/LTSSM_Stress/</t>
        </is>
      </c>
      <c r="AK8" s="59" t="n"/>
    </row>
    <row r="9" ht="15" customHeight="1">
      <c r="A9" s="107" t="n">
        <v>8</v>
      </c>
      <c r="B9" s="107" t="inlineStr">
        <is>
          <t>1L1</t>
        </is>
      </c>
      <c r="C9" s="107" t="n">
        <v>0</v>
      </c>
      <c r="D9" s="107">
        <f>IF(C9=0,1,2)</f>
        <v/>
      </c>
      <c r="E9" s="107" t="inlineStr">
        <is>
          <t>Intel JNC2</t>
        </is>
      </c>
      <c r="F9" s="107" t="inlineStr">
        <is>
          <t>VAO254600036</t>
        </is>
      </c>
      <c r="G9" s="107" t="inlineStr">
        <is>
          <t>57729510C5D400E0</t>
        </is>
      </c>
      <c r="H9" s="107" t="inlineStr">
        <is>
          <t>ES1/Q9WJ</t>
        </is>
      </c>
      <c r="I9" s="39" t="inlineStr">
        <is>
          <t>M321R4GA3PB1-CCPPC
00CE012332050091C9</t>
        </is>
      </c>
      <c r="J9" s="107" t="inlineStr">
        <is>
          <t>32D91</t>
        </is>
      </c>
      <c r="K9" s="26" t="inlineStr">
        <is>
          <t>oks-2026.07.2-g43a8af-5fe4f9b</t>
        </is>
      </c>
      <c r="L9" s="107" t="n"/>
      <c r="M9" s="107" t="inlineStr">
        <is>
          <t>Gen6</t>
        </is>
      </c>
      <c r="N9" s="107" t="inlineStr">
        <is>
          <t>LTSSM</t>
        </is>
      </c>
      <c r="O9" s="107" t="inlineStr">
        <is>
          <t>x4x4x4x4</t>
        </is>
      </c>
      <c r="P9" s="107" t="inlineStr">
        <is>
          <t>E1.S</t>
        </is>
      </c>
      <c r="Q9" s="61" t="inlineStr">
        <is>
          <t>pxp1</t>
        </is>
      </c>
      <c r="R9" s="60" t="n">
        <v>4</v>
      </c>
      <c r="S9" s="105" t="n"/>
      <c r="T9" s="107" t="n">
        <v>1000</v>
      </c>
      <c r="U9" s="107" t="inlineStr">
        <is>
          <t>NA</t>
        </is>
      </c>
      <c r="V9" s="107" t="inlineStr">
        <is>
          <t>NA</t>
        </is>
      </c>
      <c r="W9" s="42" t="n">
        <v>0.1658449074074074</v>
      </c>
      <c r="X9" s="13" t="inlineStr">
        <is>
          <t>FAIL</t>
        </is>
      </c>
      <c r="Y9" s="13" t="inlineStr">
        <is>
          <t>PASS</t>
        </is>
      </c>
      <c r="Z9" s="13" t="inlineStr">
        <is>
          <t>PASS</t>
        </is>
      </c>
      <c r="AA9" s="13" t="inlineStr">
        <is>
          <t>PASS</t>
        </is>
      </c>
      <c r="AB9" s="13" t="inlineStr">
        <is>
          <t>PASS</t>
        </is>
      </c>
      <c r="AC9" s="13" t="inlineStr">
        <is>
          <t>PASS</t>
        </is>
      </c>
      <c r="AD9" s="13" t="inlineStr">
        <is>
          <t>FAIL</t>
        </is>
      </c>
      <c r="AE9" s="13" t="inlineStr">
        <is>
          <t>PASS</t>
        </is>
      </c>
      <c r="AF9" s="13" t="inlineStr">
        <is>
          <t>PASS</t>
        </is>
      </c>
      <c r="AG9" s="107" t="n"/>
      <c r="AH9" s="29" t="n"/>
      <c r="AI9" s="107" t="n"/>
      <c r="AJ9" s="64" t="inlineStr">
        <is>
          <t>http://10.239.81.58/Xeon/NTA/PCIE/JNC2-dbgsh83/pxp1_12_x4x4x4x4_E1.S/LTSSM_Stress/</t>
        </is>
      </c>
      <c r="AK9" s="59" t="n"/>
    </row>
    <row r="10" ht="15" customHeight="1">
      <c r="A10" s="107" t="n">
        <v>9</v>
      </c>
      <c r="B10" s="107" t="inlineStr">
        <is>
          <t>1L1</t>
        </is>
      </c>
      <c r="C10" s="107" t="n">
        <v>0</v>
      </c>
      <c r="D10" s="107">
        <f>IF(C10=0,1,2)</f>
        <v/>
      </c>
      <c r="E10" s="107" t="inlineStr">
        <is>
          <t>Intel JNC2</t>
        </is>
      </c>
      <c r="F10" s="107" t="inlineStr">
        <is>
          <t>VAO254600036</t>
        </is>
      </c>
      <c r="G10" s="107" t="inlineStr">
        <is>
          <t>57729510C5D400E0</t>
        </is>
      </c>
      <c r="H10" s="107" t="inlineStr">
        <is>
          <t>ES1/Q9WJ</t>
        </is>
      </c>
      <c r="I10" s="39" t="inlineStr">
        <is>
          <t>M321R4GA3PB1-CCPPC
00CE012332050091C9</t>
        </is>
      </c>
      <c r="J10" s="107" t="inlineStr">
        <is>
          <t>32D91</t>
        </is>
      </c>
      <c r="K10" s="26" t="inlineStr">
        <is>
          <t>oks-2026.07.2-g43a8af-5fe4f9b</t>
        </is>
      </c>
      <c r="L10" s="107" t="n"/>
      <c r="M10" s="107" t="inlineStr">
        <is>
          <t>Gen6</t>
        </is>
      </c>
      <c r="N10" s="107" t="inlineStr">
        <is>
          <t>LTSSM</t>
        </is>
      </c>
      <c r="O10" s="107" t="inlineStr">
        <is>
          <t>x4x4x4x4</t>
        </is>
      </c>
      <c r="P10" s="107" t="inlineStr">
        <is>
          <t>E1.S</t>
        </is>
      </c>
      <c r="Q10" s="61" t="inlineStr">
        <is>
          <t>pxp1</t>
        </is>
      </c>
      <c r="R10" s="60" t="n">
        <v>6</v>
      </c>
      <c r="S10" s="105" t="n"/>
      <c r="T10" s="107" t="n">
        <v>1000</v>
      </c>
      <c r="U10" s="107" t="inlineStr">
        <is>
          <t>NA</t>
        </is>
      </c>
      <c r="V10" s="107" t="inlineStr">
        <is>
          <t>NA</t>
        </is>
      </c>
      <c r="W10" s="42" t="n">
        <v>0.1659027777777778</v>
      </c>
      <c r="X10" s="13" t="inlineStr">
        <is>
          <t>FAIL</t>
        </is>
      </c>
      <c r="Y10" s="13" t="inlineStr">
        <is>
          <t>PASS</t>
        </is>
      </c>
      <c r="Z10" s="13" t="inlineStr">
        <is>
          <t>PASS</t>
        </is>
      </c>
      <c r="AA10" s="13" t="inlineStr">
        <is>
          <t>PASS</t>
        </is>
      </c>
      <c r="AB10" s="13" t="inlineStr">
        <is>
          <t>PASS</t>
        </is>
      </c>
      <c r="AC10" s="13" t="inlineStr">
        <is>
          <t>PASS</t>
        </is>
      </c>
      <c r="AD10" s="13" t="inlineStr">
        <is>
          <t>FAIL</t>
        </is>
      </c>
      <c r="AE10" s="13" t="inlineStr">
        <is>
          <t>FAIL</t>
        </is>
      </c>
      <c r="AF10" s="13" t="inlineStr">
        <is>
          <t>PASS</t>
        </is>
      </c>
      <c r="AG10" s="107" t="n"/>
      <c r="AH10" s="29" t="n"/>
      <c r="AI10" s="107" t="n"/>
      <c r="AJ10" s="64" t="inlineStr">
        <is>
          <t>http://10.239.81.58/Xeon/NTA/PCIE/JNC2-dbgsh83/pxp1_12_x4x4x4x4_E1.S/LTSSM_Stress/</t>
        </is>
      </c>
      <c r="AK10" s="59" t="n"/>
    </row>
    <row r="11" ht="15" customHeight="1">
      <c r="A11" s="107" t="n">
        <v>10</v>
      </c>
      <c r="B11" s="107" t="inlineStr">
        <is>
          <t>1L12</t>
        </is>
      </c>
      <c r="C11" s="107" t="n">
        <v>0</v>
      </c>
      <c r="D11" s="107">
        <f>IF(C11=0,1,2)</f>
        <v/>
      </c>
      <c r="E11" s="107" t="inlineStr">
        <is>
          <t>Intel JNC2</t>
        </is>
      </c>
      <c r="F11" s="107" t="inlineStr">
        <is>
          <t>VAO254600036</t>
        </is>
      </c>
      <c r="G11" s="107" t="inlineStr">
        <is>
          <t>57729510C5D400E0</t>
        </is>
      </c>
      <c r="H11" s="107" t="inlineStr">
        <is>
          <t>ES1/Q9WJ</t>
        </is>
      </c>
      <c r="I11" s="39" t="inlineStr">
        <is>
          <t>M321R4GA3PB1-CCPPC
00CE012332050091C9</t>
        </is>
      </c>
      <c r="J11" s="107" t="inlineStr">
        <is>
          <t>32D91</t>
        </is>
      </c>
      <c r="K11" s="26" t="inlineStr">
        <is>
          <t>oks-2026.07.2-g43a8af-5fe4f9b</t>
        </is>
      </c>
      <c r="L11" s="107" t="n"/>
      <c r="M11" s="107" t="inlineStr">
        <is>
          <t>Gen6</t>
        </is>
      </c>
      <c r="N11" s="107" t="inlineStr">
        <is>
          <t>LTSSM</t>
        </is>
      </c>
      <c r="O11" s="107" t="inlineStr">
        <is>
          <t>x4x4x4x4</t>
        </is>
      </c>
      <c r="P11" s="107" t="inlineStr">
        <is>
          <t>E1.S</t>
        </is>
      </c>
      <c r="Q11" s="61" t="inlineStr">
        <is>
          <t>pxp12</t>
        </is>
      </c>
      <c r="R11" s="60" t="n">
        <v>0</v>
      </c>
      <c r="S11" s="105" t="n"/>
      <c r="T11" s="107" t="n">
        <v>1000</v>
      </c>
      <c r="U11" s="107" t="inlineStr">
        <is>
          <t>NA</t>
        </is>
      </c>
      <c r="V11" s="107" t="inlineStr">
        <is>
          <t>NA</t>
        </is>
      </c>
      <c r="W11" s="42" t="n">
        <v>0.2088657407407407</v>
      </c>
      <c r="X11" s="13" t="inlineStr">
        <is>
          <t>FAIL</t>
        </is>
      </c>
      <c r="Y11" s="13" t="inlineStr">
        <is>
          <t>PASS</t>
        </is>
      </c>
      <c r="Z11" s="13" t="inlineStr">
        <is>
          <t>PASS</t>
        </is>
      </c>
      <c r="AA11" s="13" t="inlineStr">
        <is>
          <t>PASS</t>
        </is>
      </c>
      <c r="AB11" s="13" t="inlineStr">
        <is>
          <t>PASS</t>
        </is>
      </c>
      <c r="AC11" s="13" t="inlineStr">
        <is>
          <t>PASS</t>
        </is>
      </c>
      <c r="AD11" s="13" t="inlineStr">
        <is>
          <t>FAIL</t>
        </is>
      </c>
      <c r="AE11" s="13" t="inlineStr">
        <is>
          <t>FAIL</t>
        </is>
      </c>
      <c r="AF11" s="13" t="inlineStr">
        <is>
          <t>PASS</t>
        </is>
      </c>
      <c r="AG11" s="107" t="n">
        <v>100</v>
      </c>
      <c r="AH11" s="29" t="n">
        <v>0.05</v>
      </c>
      <c r="AI11" s="107" t="n"/>
      <c r="AJ11" s="64" t="inlineStr">
        <is>
          <t>http://10.239.81.58/Xeon/NTA/PCIE/JNC2-dbgsh83/pxp1_12_x4x4x4x4_E1.S/LTSSM_Stress/</t>
        </is>
      </c>
      <c r="AK11" s="57" t="n"/>
    </row>
    <row r="12" ht="15" customHeight="1">
      <c r="A12" s="107" t="n">
        <v>11</v>
      </c>
      <c r="B12" s="107" t="inlineStr">
        <is>
          <t>1L12</t>
        </is>
      </c>
      <c r="C12" s="107" t="n">
        <v>0</v>
      </c>
      <c r="D12" s="107">
        <f>IF(C12=0,1,2)</f>
        <v/>
      </c>
      <c r="E12" s="107" t="inlineStr">
        <is>
          <t>Intel JNC2</t>
        </is>
      </c>
      <c r="F12" s="107" t="inlineStr">
        <is>
          <t>VAO254600036</t>
        </is>
      </c>
      <c r="G12" s="107" t="inlineStr">
        <is>
          <t>57729510C5D400E0</t>
        </is>
      </c>
      <c r="H12" s="107" t="inlineStr">
        <is>
          <t>ES1/Q9WJ</t>
        </is>
      </c>
      <c r="I12" s="39" t="inlineStr">
        <is>
          <t>M321R4GA3PB1-CCPPC
00CE012332050091C9</t>
        </is>
      </c>
      <c r="J12" s="107" t="inlineStr">
        <is>
          <t>32D91</t>
        </is>
      </c>
      <c r="K12" s="26" t="inlineStr">
        <is>
          <t>oks-2026.07.2-g43a8af-5fe4f9b</t>
        </is>
      </c>
      <c r="L12" s="107" t="n"/>
      <c r="M12" s="107" t="inlineStr">
        <is>
          <t>Gen6</t>
        </is>
      </c>
      <c r="N12" s="107" t="inlineStr">
        <is>
          <t>LTSSM</t>
        </is>
      </c>
      <c r="O12" s="107" t="inlineStr">
        <is>
          <t>x4x4x4x4</t>
        </is>
      </c>
      <c r="P12" s="107" t="inlineStr">
        <is>
          <t>E1.S</t>
        </is>
      </c>
      <c r="Q12" s="61" t="inlineStr">
        <is>
          <t>pxp12</t>
        </is>
      </c>
      <c r="R12" s="60" t="n">
        <v>2</v>
      </c>
      <c r="S12" s="105" t="n"/>
      <c r="T12" s="107" t="n">
        <v>1000</v>
      </c>
      <c r="U12" s="107" t="inlineStr">
        <is>
          <t>NA</t>
        </is>
      </c>
      <c r="V12" s="107" t="inlineStr">
        <is>
          <t>NA</t>
        </is>
      </c>
      <c r="W12" s="42" t="n">
        <v>0.2094675925925926</v>
      </c>
      <c r="X12" s="13" t="inlineStr">
        <is>
          <t>FAIL</t>
        </is>
      </c>
      <c r="Y12" s="13" t="inlineStr">
        <is>
          <t>PASS</t>
        </is>
      </c>
      <c r="Z12" s="13" t="inlineStr">
        <is>
          <t>FAIL</t>
        </is>
      </c>
      <c r="AA12" s="13" t="inlineStr">
        <is>
          <t>PASS</t>
        </is>
      </c>
      <c r="AB12" s="13" t="inlineStr">
        <is>
          <t>PASS</t>
        </is>
      </c>
      <c r="AC12" s="13" t="inlineStr">
        <is>
          <t>FAIL</t>
        </is>
      </c>
      <c r="AD12" s="13" t="inlineStr">
        <is>
          <t>FAIL</t>
        </is>
      </c>
      <c r="AE12" s="13" t="inlineStr">
        <is>
          <t>FAIL</t>
        </is>
      </c>
      <c r="AF12" s="13" t="inlineStr">
        <is>
          <t>PASS</t>
        </is>
      </c>
      <c r="AG12" s="107" t="n">
        <v>159</v>
      </c>
      <c r="AH12" s="29" t="n">
        <v>0.053</v>
      </c>
      <c r="AI12" s="107" t="n"/>
      <c r="AJ12" s="64" t="inlineStr">
        <is>
          <t>http://10.239.81.58/Xeon/NTA/PCIE/JNC2-dbgsh83/pxp1_12_x4x4x4x4_E1.S/LTSSM_Stress/</t>
        </is>
      </c>
      <c r="AK12" s="57" t="n"/>
    </row>
    <row r="13" ht="15" customHeight="1">
      <c r="A13" s="107" t="n">
        <v>12</v>
      </c>
      <c r="B13" s="107" t="inlineStr">
        <is>
          <t>1L12</t>
        </is>
      </c>
      <c r="C13" s="107" t="n">
        <v>0</v>
      </c>
      <c r="D13" s="107">
        <f>IF(C13=0,1,2)</f>
        <v/>
      </c>
      <c r="E13" s="107" t="inlineStr">
        <is>
          <t>Intel JNC2</t>
        </is>
      </c>
      <c r="F13" s="107" t="inlineStr">
        <is>
          <t>VAO254600036</t>
        </is>
      </c>
      <c r="G13" s="107" t="inlineStr">
        <is>
          <t>57729510C5D400E0</t>
        </is>
      </c>
      <c r="H13" s="107" t="inlineStr">
        <is>
          <t>ES1/Q9WJ</t>
        </is>
      </c>
      <c r="I13" s="39" t="inlineStr">
        <is>
          <t>M321R4GA3PB1-CCPPC
00CE012332050091C9</t>
        </is>
      </c>
      <c r="J13" s="107" t="inlineStr">
        <is>
          <t>32D91</t>
        </is>
      </c>
      <c r="K13" s="26" t="inlineStr">
        <is>
          <t>oks-2026.07.2-g43a8af-5fe4f9b</t>
        </is>
      </c>
      <c r="L13" s="107" t="n"/>
      <c r="M13" s="107" t="inlineStr">
        <is>
          <t>Gen6</t>
        </is>
      </c>
      <c r="N13" s="107" t="inlineStr">
        <is>
          <t>LTSSM</t>
        </is>
      </c>
      <c r="O13" s="107" t="inlineStr">
        <is>
          <t>x4x4x4x4</t>
        </is>
      </c>
      <c r="P13" s="107" t="inlineStr">
        <is>
          <t>E1.S</t>
        </is>
      </c>
      <c r="Q13" s="61" t="inlineStr">
        <is>
          <t>pxp12</t>
        </is>
      </c>
      <c r="R13" s="60" t="n">
        <v>4</v>
      </c>
      <c r="S13" s="105" t="n"/>
      <c r="T13" s="107" t="n">
        <v>1000</v>
      </c>
      <c r="U13" s="107" t="inlineStr">
        <is>
          <t>NA</t>
        </is>
      </c>
      <c r="V13" s="107" t="inlineStr">
        <is>
          <t>NA</t>
        </is>
      </c>
      <c r="W13" s="42" t="n">
        <v>0.2098611111111111</v>
      </c>
      <c r="X13" s="13" t="inlineStr">
        <is>
          <t>FAIL</t>
        </is>
      </c>
      <c r="Y13" s="13" t="inlineStr">
        <is>
          <t>PASS</t>
        </is>
      </c>
      <c r="Z13" s="13" t="inlineStr">
        <is>
          <t>PASS</t>
        </is>
      </c>
      <c r="AA13" s="13" t="inlineStr">
        <is>
          <t>PASS</t>
        </is>
      </c>
      <c r="AB13" s="13" t="inlineStr">
        <is>
          <t>PASS</t>
        </is>
      </c>
      <c r="AC13" s="13" t="inlineStr">
        <is>
          <t>FAIL</t>
        </is>
      </c>
      <c r="AD13" s="13" t="inlineStr">
        <is>
          <t>FAIL</t>
        </is>
      </c>
      <c r="AE13" s="13" t="inlineStr">
        <is>
          <t>FAIL</t>
        </is>
      </c>
      <c r="AF13" s="13" t="inlineStr">
        <is>
          <t>FAIL</t>
        </is>
      </c>
      <c r="AG13" s="107" t="n"/>
      <c r="AH13" s="29" t="n"/>
      <c r="AI13" s="107" t="n"/>
      <c r="AJ13" s="64" t="inlineStr">
        <is>
          <t>http://10.239.81.58/Xeon/NTA/PCIE/JNC2-dbgsh83/pxp1_12_x4x4x4x4_E1.S/LTSSM_Stress/</t>
        </is>
      </c>
      <c r="AK13" s="57" t="n"/>
    </row>
    <row r="14" ht="15" customHeight="1">
      <c r="A14" s="107" t="n">
        <v>13</v>
      </c>
      <c r="B14" s="107" t="inlineStr">
        <is>
          <t>1L12</t>
        </is>
      </c>
      <c r="C14" s="107" t="n">
        <v>0</v>
      </c>
      <c r="D14" s="107">
        <f>IF(C14=0,1,2)</f>
        <v/>
      </c>
      <c r="E14" s="107" t="inlineStr">
        <is>
          <t>Intel JNC2</t>
        </is>
      </c>
      <c r="F14" s="107" t="inlineStr">
        <is>
          <t>VAO254600036</t>
        </is>
      </c>
      <c r="G14" s="107" t="inlineStr">
        <is>
          <t>57729510C5D400E0</t>
        </is>
      </c>
      <c r="H14" s="107" t="inlineStr">
        <is>
          <t>ES1/Q9WJ</t>
        </is>
      </c>
      <c r="I14" s="39" t="inlineStr">
        <is>
          <t>M321R4GA3PB1-CCPPC
00CE012332050091C9</t>
        </is>
      </c>
      <c r="J14" s="107" t="inlineStr">
        <is>
          <t>32D91</t>
        </is>
      </c>
      <c r="K14" s="26" t="inlineStr">
        <is>
          <t>oks-2026.07.2-g43a8af-5fe4f9b</t>
        </is>
      </c>
      <c r="L14" s="107" t="n"/>
      <c r="M14" s="107" t="inlineStr">
        <is>
          <t>Gen6</t>
        </is>
      </c>
      <c r="N14" s="107" t="inlineStr">
        <is>
          <t>LTSSM</t>
        </is>
      </c>
      <c r="O14" s="107" t="inlineStr">
        <is>
          <t>x4x4x4x4</t>
        </is>
      </c>
      <c r="P14" s="107" t="inlineStr">
        <is>
          <t>E1.S</t>
        </is>
      </c>
      <c r="Q14" s="61" t="inlineStr">
        <is>
          <t>pxp12</t>
        </is>
      </c>
      <c r="R14" s="60" t="n">
        <v>6</v>
      </c>
      <c r="S14" s="105" t="n"/>
      <c r="T14" s="107" t="n">
        <v>1000</v>
      </c>
      <c r="U14" s="107" t="inlineStr">
        <is>
          <t>NA</t>
        </is>
      </c>
      <c r="V14" s="107" t="inlineStr">
        <is>
          <t>NA</t>
        </is>
      </c>
      <c r="W14" s="42" t="n">
        <v>0.2097337962962963</v>
      </c>
      <c r="X14" s="13" t="inlineStr">
        <is>
          <t>FAIL</t>
        </is>
      </c>
      <c r="Y14" s="13" t="inlineStr">
        <is>
          <t>PASS</t>
        </is>
      </c>
      <c r="Z14" s="13" t="inlineStr">
        <is>
          <t>PASS</t>
        </is>
      </c>
      <c r="AA14" s="13" t="inlineStr">
        <is>
          <t>PASS</t>
        </is>
      </c>
      <c r="AB14" s="13" t="inlineStr">
        <is>
          <t>PASS</t>
        </is>
      </c>
      <c r="AC14" s="13" t="inlineStr">
        <is>
          <t>FAIL</t>
        </is>
      </c>
      <c r="AD14" s="13" t="inlineStr">
        <is>
          <t>FAIL</t>
        </is>
      </c>
      <c r="AE14" s="13" t="inlineStr">
        <is>
          <t>FAIL</t>
        </is>
      </c>
      <c r="AF14" s="13" t="inlineStr">
        <is>
          <t>PASS</t>
        </is>
      </c>
      <c r="AG14" s="107" t="n"/>
      <c r="AH14" s="29" t="n"/>
      <c r="AI14" s="107" t="n"/>
      <c r="AJ14" s="64" t="inlineStr">
        <is>
          <t>http://10.239.81.58/Xeon/NTA/PCIE/JNC2-dbgsh83/pxp1_12_x4x4x4x4_E1.S/LTSSM_Stress/</t>
        </is>
      </c>
      <c r="AK14" s="57" t="n"/>
    </row>
    <row r="15" hidden="1" ht="15" customHeight="1">
      <c r="A15" s="107" t="n">
        <v>14</v>
      </c>
      <c r="B15" s="107" t="inlineStr">
        <is>
          <t>1S1</t>
        </is>
      </c>
      <c r="C15" s="107" t="n">
        <v>0</v>
      </c>
      <c r="D15" s="107">
        <f>IF(C15=0,1,2)</f>
        <v/>
      </c>
      <c r="E15" s="107" t="inlineStr">
        <is>
          <t>Intel JNC2</t>
        </is>
      </c>
      <c r="F15" s="107" t="inlineStr">
        <is>
          <t>VAO254600036</t>
        </is>
      </c>
      <c r="G15" s="107" t="inlineStr">
        <is>
          <t>57729510C5D400E0</t>
        </is>
      </c>
      <c r="H15" s="107" t="inlineStr">
        <is>
          <t>ES1/Q9WJ</t>
        </is>
      </c>
      <c r="I15" s="39" t="inlineStr">
        <is>
          <t>M321R4GA3PB1-CCPPC
00CE012332050091C9</t>
        </is>
      </c>
      <c r="J15" s="107" t="inlineStr">
        <is>
          <t>32D91</t>
        </is>
      </c>
      <c r="K15" s="26" t="inlineStr">
        <is>
          <t>oks-2026.07.2-g43a8af-5fe4f9b</t>
        </is>
      </c>
      <c r="L15" s="107" t="n"/>
      <c r="M15" s="107" t="inlineStr">
        <is>
          <t>Gen6</t>
        </is>
      </c>
      <c r="N15" s="107" t="inlineStr">
        <is>
          <t>SMV_Margin</t>
        </is>
      </c>
      <c r="O15" s="107" t="inlineStr">
        <is>
          <t>x16</t>
        </is>
      </c>
      <c r="P15" s="107" t="inlineStr">
        <is>
          <t>CX8</t>
        </is>
      </c>
      <c r="Q15" s="107" t="inlineStr">
        <is>
          <t>pxp1</t>
        </is>
      </c>
      <c r="R15" s="63" t="n"/>
      <c r="S15" s="105" t="n"/>
      <c r="T15" s="107" t="n">
        <v>3</v>
      </c>
      <c r="U15" s="107" t="n">
        <v>3</v>
      </c>
      <c r="V15" s="107" t="n">
        <v>3</v>
      </c>
      <c r="W15" s="42" t="n">
        <v>0.04737268518518518</v>
      </c>
      <c r="X15" s="13" t="inlineStr">
        <is>
          <t>PASS</t>
        </is>
      </c>
      <c r="Y15" s="13" t="inlineStr">
        <is>
          <t>NA</t>
        </is>
      </c>
      <c r="Z15" s="13" t="inlineStr">
        <is>
          <t>NA</t>
        </is>
      </c>
      <c r="AA15" s="13" t="inlineStr">
        <is>
          <t>NA</t>
        </is>
      </c>
      <c r="AB15" s="13" t="inlineStr">
        <is>
          <t>NA</t>
        </is>
      </c>
      <c r="AC15" s="13" t="inlineStr">
        <is>
          <t>NA</t>
        </is>
      </c>
      <c r="AD15" s="13" t="inlineStr">
        <is>
          <t>NA</t>
        </is>
      </c>
      <c r="AE15" s="13" t="inlineStr">
        <is>
          <t>NA</t>
        </is>
      </c>
      <c r="AF15" s="13" t="inlineStr">
        <is>
          <t>NA</t>
        </is>
      </c>
      <c r="AG15" s="107" t="n">
        <v>0</v>
      </c>
      <c r="AH15" s="29" t="n">
        <v>0</v>
      </c>
      <c r="AI15" s="107" t="n"/>
      <c r="AJ15" s="64" t="inlineStr">
        <is>
          <t>http://10.239.81.58/Xeon/NTA/PCIE/JNC2-dbgsh83/pxp1/SMV_Margin_Test/</t>
        </is>
      </c>
      <c r="AK15" s="57" t="inlineStr">
        <is>
          <t>pxp1.port0 has detected correctable errors</t>
        </is>
      </c>
    </row>
    <row r="16" hidden="1" ht="15" customHeight="1">
      <c r="A16" s="107" t="n">
        <v>15</v>
      </c>
      <c r="B16" s="107" t="inlineStr">
        <is>
          <t>1S3</t>
        </is>
      </c>
      <c r="C16" s="107" t="n">
        <v>0</v>
      </c>
      <c r="D16" s="107">
        <f>IF(C16=0,1,2)</f>
        <v/>
      </c>
      <c r="E16" s="107" t="inlineStr">
        <is>
          <t>Intel JNC2</t>
        </is>
      </c>
      <c r="F16" s="107" t="inlineStr">
        <is>
          <t>VAO254600036</t>
        </is>
      </c>
      <c r="G16" s="107" t="inlineStr">
        <is>
          <t>57729510C5D400E0</t>
        </is>
      </c>
      <c r="H16" s="107" t="inlineStr">
        <is>
          <t>ES1/Q9WJ</t>
        </is>
      </c>
      <c r="I16" s="39" t="inlineStr">
        <is>
          <t>M321R4GA3PB1-CCPPC
00CE012332050091C9</t>
        </is>
      </c>
      <c r="J16" s="107" t="inlineStr">
        <is>
          <t>32D91</t>
        </is>
      </c>
      <c r="K16" s="26" t="inlineStr">
        <is>
          <t>oks-2026.07.2-g43a8af-5fe4f9b</t>
        </is>
      </c>
      <c r="L16" s="107" t="n"/>
      <c r="M16" s="107" t="inlineStr">
        <is>
          <t>Gen6</t>
        </is>
      </c>
      <c r="N16" s="107" t="inlineStr">
        <is>
          <t>SMV_Margin</t>
        </is>
      </c>
      <c r="O16" s="107" t="inlineStr">
        <is>
          <t>x16</t>
        </is>
      </c>
      <c r="P16" s="107" t="inlineStr">
        <is>
          <t>CX8</t>
        </is>
      </c>
      <c r="Q16" s="107" t="inlineStr">
        <is>
          <t>pxp3</t>
        </is>
      </c>
      <c r="R16" s="63" t="n"/>
      <c r="S16" s="105" t="n"/>
      <c r="T16" s="107" t="n">
        <v>3</v>
      </c>
      <c r="U16" s="107" t="n">
        <v>3</v>
      </c>
      <c r="V16" s="107" t="n">
        <v>3</v>
      </c>
      <c r="W16" s="42" t="n">
        <v>0.04722222222222222</v>
      </c>
      <c r="X16" s="13" t="inlineStr">
        <is>
          <t>PASS</t>
        </is>
      </c>
      <c r="Y16" s="13" t="inlineStr">
        <is>
          <t>NA</t>
        </is>
      </c>
      <c r="Z16" s="13" t="inlineStr">
        <is>
          <t>NA</t>
        </is>
      </c>
      <c r="AA16" s="13" t="inlineStr">
        <is>
          <t>NA</t>
        </is>
      </c>
      <c r="AB16" s="13" t="inlineStr">
        <is>
          <t>NA</t>
        </is>
      </c>
      <c r="AC16" s="13" t="inlineStr">
        <is>
          <t>NA</t>
        </is>
      </c>
      <c r="AD16" s="13" t="inlineStr">
        <is>
          <t>NA</t>
        </is>
      </c>
      <c r="AE16" s="13" t="inlineStr">
        <is>
          <t>NA</t>
        </is>
      </c>
      <c r="AF16" s="13" t="inlineStr">
        <is>
          <t>NA</t>
        </is>
      </c>
      <c r="AG16" s="107" t="n">
        <v>0</v>
      </c>
      <c r="AH16" s="29" t="n">
        <v>0</v>
      </c>
      <c r="AI16" s="107" t="n"/>
      <c r="AJ16" s="64" t="inlineStr">
        <is>
          <t>http://10.239.81.58/Xeon/NTA/PCIE/JNC2-dbgsh83/pxp3/SMV_Margin_Test/</t>
        </is>
      </c>
      <c r="AK16" s="57" t="inlineStr">
        <is>
          <t>pxp3.port0 has detected correctable errors</t>
        </is>
      </c>
    </row>
    <row r="17" hidden="1" ht="15" customHeight="1">
      <c r="A17" s="107" t="n">
        <v>16</v>
      </c>
      <c r="B17" s="107" t="inlineStr">
        <is>
          <t>1S4</t>
        </is>
      </c>
      <c r="C17" s="107" t="n">
        <v>0</v>
      </c>
      <c r="D17" s="107">
        <f>IF(C17=0,1,2)</f>
        <v/>
      </c>
      <c r="E17" s="107" t="inlineStr">
        <is>
          <t>Intel JNC2</t>
        </is>
      </c>
      <c r="F17" s="107" t="inlineStr">
        <is>
          <t>VAO254600036</t>
        </is>
      </c>
      <c r="G17" s="107" t="inlineStr">
        <is>
          <t>57729510C5D400E0</t>
        </is>
      </c>
      <c r="H17" s="107" t="inlineStr">
        <is>
          <t>ES1/Q9WJ</t>
        </is>
      </c>
      <c r="I17" s="39" t="inlineStr">
        <is>
          <t>M321R4GA3PB1-CCPPC
00CE012332050091C9</t>
        </is>
      </c>
      <c r="J17" s="107" t="inlineStr">
        <is>
          <t>32D91</t>
        </is>
      </c>
      <c r="K17" s="26" t="inlineStr">
        <is>
          <t>oks-2026.07.2-g43a8af-5fe4f9b</t>
        </is>
      </c>
      <c r="L17" s="107" t="n"/>
      <c r="M17" s="107" t="inlineStr">
        <is>
          <t>Gen6</t>
        </is>
      </c>
      <c r="N17" s="107" t="inlineStr">
        <is>
          <t>SMV_Margin</t>
        </is>
      </c>
      <c r="O17" s="107" t="inlineStr">
        <is>
          <t>x16</t>
        </is>
      </c>
      <c r="P17" s="107" t="inlineStr">
        <is>
          <t>CX8</t>
        </is>
      </c>
      <c r="Q17" s="107" t="inlineStr">
        <is>
          <t>pxp4</t>
        </is>
      </c>
      <c r="R17" s="63" t="n"/>
      <c r="S17" s="105" t="n"/>
      <c r="T17" s="107" t="n">
        <v>3</v>
      </c>
      <c r="U17" s="107" t="n">
        <v>3</v>
      </c>
      <c r="V17" s="107" t="n">
        <v>3</v>
      </c>
      <c r="W17" s="42" t="n">
        <v>0.0472800925925926</v>
      </c>
      <c r="X17" s="13" t="inlineStr">
        <is>
          <t>PASS</t>
        </is>
      </c>
      <c r="Y17" s="13" t="inlineStr">
        <is>
          <t>NA</t>
        </is>
      </c>
      <c r="Z17" s="13" t="inlineStr">
        <is>
          <t>NA</t>
        </is>
      </c>
      <c r="AA17" s="13" t="inlineStr">
        <is>
          <t>NA</t>
        </is>
      </c>
      <c r="AB17" s="13" t="inlineStr">
        <is>
          <t>NA</t>
        </is>
      </c>
      <c r="AC17" s="13" t="inlineStr">
        <is>
          <t>NA</t>
        </is>
      </c>
      <c r="AD17" s="13" t="inlineStr">
        <is>
          <t>NA</t>
        </is>
      </c>
      <c r="AE17" s="13" t="inlineStr">
        <is>
          <t>NA</t>
        </is>
      </c>
      <c r="AF17" s="13" t="inlineStr">
        <is>
          <t>NA</t>
        </is>
      </c>
      <c r="AG17" s="107" t="n">
        <v>0</v>
      </c>
      <c r="AH17" s="29" t="n">
        <v>0</v>
      </c>
      <c r="AI17" s="107" t="n"/>
      <c r="AJ17" s="64" t="inlineStr">
        <is>
          <t>http://10.239.81.58/Xeon/NTA/PCIE/JNC2-dbgsh83/pxp4/SMV_Margin_Test/</t>
        </is>
      </c>
      <c r="AK17" s="57" t="inlineStr">
        <is>
          <t>pxp4.port0 has detected correctable errors</t>
        </is>
      </c>
    </row>
    <row r="18" hidden="1" ht="15" customFormat="1" customHeight="1" s="14">
      <c r="A18" s="107" t="n">
        <v>17</v>
      </c>
      <c r="B18" s="107" t="inlineStr">
        <is>
          <t>1S9</t>
        </is>
      </c>
      <c r="C18" s="107" t="n">
        <v>0</v>
      </c>
      <c r="D18" s="107">
        <f>IF(C18=0,1,2)</f>
        <v/>
      </c>
      <c r="E18" s="107" t="inlineStr">
        <is>
          <t>Intel JNC2</t>
        </is>
      </c>
      <c r="F18" s="107" t="inlineStr">
        <is>
          <t>VAO254600036</t>
        </is>
      </c>
      <c r="G18" s="107" t="inlineStr">
        <is>
          <t>57729510C5D400E0</t>
        </is>
      </c>
      <c r="H18" s="107" t="inlineStr">
        <is>
          <t>ES1/Q9WJ</t>
        </is>
      </c>
      <c r="I18" s="39" t="inlineStr">
        <is>
          <t>M321R4GA3PB1-CCPPC
00CE012332050091C9</t>
        </is>
      </c>
      <c r="J18" s="107" t="inlineStr">
        <is>
          <t>32D91</t>
        </is>
      </c>
      <c r="K18" s="26" t="inlineStr">
        <is>
          <t>oks-2026.07.2-g43a8af-5fe4f9b</t>
        </is>
      </c>
      <c r="L18" s="107" t="n"/>
      <c r="M18" s="107" t="inlineStr">
        <is>
          <t>Gen6</t>
        </is>
      </c>
      <c r="N18" s="107" t="inlineStr">
        <is>
          <t>SMV_Margin</t>
        </is>
      </c>
      <c r="O18" s="107" t="inlineStr">
        <is>
          <t>x16</t>
        </is>
      </c>
      <c r="P18" s="107" t="inlineStr">
        <is>
          <t>CX8</t>
        </is>
      </c>
      <c r="Q18" s="107" t="inlineStr">
        <is>
          <t>pxp9</t>
        </is>
      </c>
      <c r="R18" s="63" t="n"/>
      <c r="S18" s="105" t="n"/>
      <c r="T18" s="107" t="n">
        <v>3</v>
      </c>
      <c r="U18" s="107" t="n">
        <v>3</v>
      </c>
      <c r="V18" s="107" t="n">
        <v>3</v>
      </c>
      <c r="W18" s="42" t="n">
        <v>0.04788194444444444</v>
      </c>
      <c r="X18" s="13" t="inlineStr">
        <is>
          <t>PASS</t>
        </is>
      </c>
      <c r="Y18" s="13" t="inlineStr">
        <is>
          <t>NA</t>
        </is>
      </c>
      <c r="Z18" s="13" t="inlineStr">
        <is>
          <t>NA</t>
        </is>
      </c>
      <c r="AA18" s="13" t="inlineStr">
        <is>
          <t>NA</t>
        </is>
      </c>
      <c r="AB18" s="13" t="inlineStr">
        <is>
          <t>NA</t>
        </is>
      </c>
      <c r="AC18" s="13" t="inlineStr">
        <is>
          <t>NA</t>
        </is>
      </c>
      <c r="AD18" s="13" t="inlineStr">
        <is>
          <t>NA</t>
        </is>
      </c>
      <c r="AE18" s="13" t="inlineStr">
        <is>
          <t>NA</t>
        </is>
      </c>
      <c r="AF18" s="13" t="inlineStr">
        <is>
          <t>NA</t>
        </is>
      </c>
      <c r="AG18" s="107" t="n">
        <v>0</v>
      </c>
      <c r="AH18" s="29" t="n">
        <v>0</v>
      </c>
      <c r="AI18" s="107" t="n"/>
      <c r="AJ18" s="64" t="inlineStr">
        <is>
          <t>http://10.239.81.58/Xeon/NTA/PCIE/JNC2-dbgsh83/pxp9/SMV_Margin_Test/</t>
        </is>
      </c>
      <c r="AK18" s="57" t="inlineStr">
        <is>
          <t>pxp9.port0 has detected correctable errors</t>
        </is>
      </c>
    </row>
    <row r="19" hidden="1" ht="15" customFormat="1" customHeight="1" s="14">
      <c r="A19" s="107" t="n">
        <v>18</v>
      </c>
      <c r="B19" s="107" t="inlineStr">
        <is>
          <t>1S11</t>
        </is>
      </c>
      <c r="C19" s="107" t="n">
        <v>0</v>
      </c>
      <c r="D19" s="107">
        <f>IF(C19=0,1,2)</f>
        <v/>
      </c>
      <c r="E19" s="107" t="inlineStr">
        <is>
          <t>Intel JNC2</t>
        </is>
      </c>
      <c r="F19" s="107" t="inlineStr">
        <is>
          <t>VAO254600036</t>
        </is>
      </c>
      <c r="G19" s="107" t="inlineStr">
        <is>
          <t>57729510C5D400E0</t>
        </is>
      </c>
      <c r="H19" s="107" t="inlineStr">
        <is>
          <t>ES1/Q9WJ</t>
        </is>
      </c>
      <c r="I19" s="39" t="inlineStr">
        <is>
          <t>M321R4GA3PB1-CCPPC
00CE012332050091C9</t>
        </is>
      </c>
      <c r="J19" s="107" t="inlineStr">
        <is>
          <t>32D91</t>
        </is>
      </c>
      <c r="K19" s="26" t="inlineStr">
        <is>
          <t>oks-2026.07.2-g43a8af-5fe4f9b</t>
        </is>
      </c>
      <c r="L19" s="107" t="n"/>
      <c r="M19" s="107" t="inlineStr">
        <is>
          <t>Gen6</t>
        </is>
      </c>
      <c r="N19" s="107" t="inlineStr">
        <is>
          <t>SMV_Margin</t>
        </is>
      </c>
      <c r="O19" s="107" t="inlineStr">
        <is>
          <t>x16</t>
        </is>
      </c>
      <c r="P19" s="107" t="inlineStr">
        <is>
          <t>CX8</t>
        </is>
      </c>
      <c r="Q19" s="107" t="inlineStr">
        <is>
          <t>pxp11</t>
        </is>
      </c>
      <c r="R19" s="63" t="n"/>
      <c r="S19" s="105" t="n"/>
      <c r="T19" s="107" t="n">
        <v>3</v>
      </c>
      <c r="U19" s="107" t="n">
        <v>3</v>
      </c>
      <c r="V19" s="107" t="n">
        <v>3</v>
      </c>
      <c r="W19" s="42" t="n">
        <v>0.04724537037037037</v>
      </c>
      <c r="X19" s="13" t="inlineStr">
        <is>
          <t>PASS</t>
        </is>
      </c>
      <c r="Y19" s="13" t="inlineStr">
        <is>
          <t>NA</t>
        </is>
      </c>
      <c r="Z19" s="13" t="inlineStr">
        <is>
          <t>NA</t>
        </is>
      </c>
      <c r="AA19" s="13" t="inlineStr">
        <is>
          <t>NA</t>
        </is>
      </c>
      <c r="AB19" s="13" t="inlineStr">
        <is>
          <t>NA</t>
        </is>
      </c>
      <c r="AC19" s="13" t="inlineStr">
        <is>
          <t>NA</t>
        </is>
      </c>
      <c r="AD19" s="13" t="inlineStr">
        <is>
          <t>NA</t>
        </is>
      </c>
      <c r="AE19" s="13" t="inlineStr">
        <is>
          <t>NA</t>
        </is>
      </c>
      <c r="AF19" s="13" t="inlineStr">
        <is>
          <t>NA</t>
        </is>
      </c>
      <c r="AG19" s="107" t="n">
        <v>0</v>
      </c>
      <c r="AH19" s="29" t="n">
        <v>0</v>
      </c>
      <c r="AI19" s="107" t="n"/>
      <c r="AJ19" s="64" t="inlineStr">
        <is>
          <t>http://10.239.81.58/Xeon/NTA/PCIE/JNC2-dbgsh83/pxp11/SMV_Margin_Test/</t>
        </is>
      </c>
      <c r="AK19" s="57" t="inlineStr">
        <is>
          <t>pxp11.port0 has detected correctable errors</t>
        </is>
      </c>
    </row>
    <row r="20" ht="15" customHeight="1">
      <c r="A20" s="107" t="n">
        <v>19</v>
      </c>
      <c r="B20" s="107" t="inlineStr">
        <is>
          <t>1S1</t>
        </is>
      </c>
      <c r="C20" s="107" t="n">
        <v>0</v>
      </c>
      <c r="D20" s="107">
        <f>IF(C20=0,1,2)</f>
        <v/>
      </c>
      <c r="E20" s="107" t="inlineStr">
        <is>
          <t>Intel JNC2</t>
        </is>
      </c>
      <c r="F20" s="107" t="inlineStr">
        <is>
          <t>VAO254600036</t>
        </is>
      </c>
      <c r="G20" s="107" t="inlineStr">
        <is>
          <t>57729510C5D400E0</t>
        </is>
      </c>
      <c r="H20" s="107" t="inlineStr">
        <is>
          <t>ES1/Q9WJ</t>
        </is>
      </c>
      <c r="I20" s="39" t="inlineStr">
        <is>
          <t>M321R4GA3PB1-CCPPC
00CE012332050091C9</t>
        </is>
      </c>
      <c r="J20" s="107" t="inlineStr">
        <is>
          <t>32D91</t>
        </is>
      </c>
      <c r="K20" s="26" t="inlineStr">
        <is>
          <t>oks-2026.07.2-g43a8af-5fe4f9b</t>
        </is>
      </c>
      <c r="L20" s="107" t="n"/>
      <c r="M20" s="107" t="inlineStr">
        <is>
          <t>Gen6</t>
        </is>
      </c>
      <c r="N20" s="107" t="inlineStr">
        <is>
          <t>SMV_Margin</t>
        </is>
      </c>
      <c r="O20" s="107" t="inlineStr">
        <is>
          <t>x4x4x4x4</t>
        </is>
      </c>
      <c r="P20" s="107" t="inlineStr">
        <is>
          <t>E1.S</t>
        </is>
      </c>
      <c r="Q20" s="107" t="inlineStr">
        <is>
          <t>pxp1</t>
        </is>
      </c>
      <c r="R20" s="60" t="n">
        <v>0</v>
      </c>
      <c r="S20" s="105" t="n"/>
      <c r="T20" s="107" t="n">
        <v>3</v>
      </c>
      <c r="U20" s="107" t="n">
        <v>3</v>
      </c>
      <c r="V20" s="107" t="n">
        <v>3</v>
      </c>
      <c r="W20" s="42" t="n">
        <v>0.01614583333333333</v>
      </c>
      <c r="X20" s="13" t="inlineStr">
        <is>
          <t>PASS</t>
        </is>
      </c>
      <c r="Y20" s="13" t="inlineStr">
        <is>
          <t>NA</t>
        </is>
      </c>
      <c r="Z20" s="13" t="inlineStr">
        <is>
          <t>NA</t>
        </is>
      </c>
      <c r="AA20" s="13" t="inlineStr">
        <is>
          <t>NA</t>
        </is>
      </c>
      <c r="AB20" s="13" t="inlineStr">
        <is>
          <t>NA</t>
        </is>
      </c>
      <c r="AC20" s="13" t="inlineStr">
        <is>
          <t>NA</t>
        </is>
      </c>
      <c r="AD20" s="13" t="inlineStr">
        <is>
          <t>NA</t>
        </is>
      </c>
      <c r="AE20" s="13" t="inlineStr">
        <is>
          <t>NA</t>
        </is>
      </c>
      <c r="AF20" s="13" t="inlineStr">
        <is>
          <t>NA</t>
        </is>
      </c>
      <c r="AG20" s="107" t="n">
        <v>0</v>
      </c>
      <c r="AH20" s="29" t="n">
        <v>0</v>
      </c>
      <c r="AI20" s="107" t="n"/>
      <c r="AJ20" s="64" t="inlineStr">
        <is>
          <t>http://10.239.81.58/Xeon/NTA/PCIE/JNC2-dbgsh83/pxp1_12_x4x4x4x4_E1.S/SMV_Margin_Test/GEN6/</t>
        </is>
      </c>
      <c r="AK20" s="57" t="n"/>
    </row>
    <row r="21" ht="15" customHeight="1">
      <c r="A21" s="107" t="n">
        <v>20</v>
      </c>
      <c r="B21" s="107" t="inlineStr">
        <is>
          <t>1S1</t>
        </is>
      </c>
      <c r="C21" s="107" t="n">
        <v>0</v>
      </c>
      <c r="D21" s="107">
        <f>IF(C21=0,1,2)</f>
        <v/>
      </c>
      <c r="E21" s="107" t="inlineStr">
        <is>
          <t>Intel JNC2</t>
        </is>
      </c>
      <c r="F21" s="107" t="inlineStr">
        <is>
          <t>VAO254600036</t>
        </is>
      </c>
      <c r="G21" s="107" t="inlineStr">
        <is>
          <t>57729510C5D400E0</t>
        </is>
      </c>
      <c r="H21" s="107" t="inlineStr">
        <is>
          <t>ES1/Q9WJ</t>
        </is>
      </c>
      <c r="I21" s="39" t="inlineStr">
        <is>
          <t>M321R4GA3PB1-CCPPC
00CE012332050091C9</t>
        </is>
      </c>
      <c r="J21" s="107" t="inlineStr">
        <is>
          <t>32D91</t>
        </is>
      </c>
      <c r="K21" s="26" t="inlineStr">
        <is>
          <t>oks-2026.07.2-g43a8af-5fe4f9b</t>
        </is>
      </c>
      <c r="L21" s="107" t="n"/>
      <c r="M21" s="107" t="inlineStr">
        <is>
          <t>Gen6</t>
        </is>
      </c>
      <c r="N21" s="107" t="inlineStr">
        <is>
          <t>SMV_Margin</t>
        </is>
      </c>
      <c r="O21" s="107" t="inlineStr">
        <is>
          <t>x4x4x4x4</t>
        </is>
      </c>
      <c r="P21" s="107" t="inlineStr">
        <is>
          <t>E1.S</t>
        </is>
      </c>
      <c r="Q21" s="107" t="inlineStr">
        <is>
          <t>pxp1</t>
        </is>
      </c>
      <c r="R21" s="60" t="n">
        <v>2</v>
      </c>
      <c r="S21" s="105" t="n"/>
      <c r="T21" s="107" t="n">
        <v>3</v>
      </c>
      <c r="U21" s="107" t="n">
        <v>3</v>
      </c>
      <c r="V21" s="107" t="n">
        <v>3</v>
      </c>
      <c r="W21" s="42" t="n">
        <v>0.01633101851851852</v>
      </c>
      <c r="X21" s="13" t="inlineStr">
        <is>
          <t>PASS</t>
        </is>
      </c>
      <c r="Y21" s="13" t="inlineStr">
        <is>
          <t>NA</t>
        </is>
      </c>
      <c r="Z21" s="13" t="inlineStr">
        <is>
          <t>NA</t>
        </is>
      </c>
      <c r="AA21" s="13" t="inlineStr">
        <is>
          <t>NA</t>
        </is>
      </c>
      <c r="AB21" s="13" t="inlineStr">
        <is>
          <t>NA</t>
        </is>
      </c>
      <c r="AC21" s="13" t="inlineStr">
        <is>
          <t>NA</t>
        </is>
      </c>
      <c r="AD21" s="13" t="inlineStr">
        <is>
          <t>NA</t>
        </is>
      </c>
      <c r="AE21" s="13" t="inlineStr">
        <is>
          <t>NA</t>
        </is>
      </c>
      <c r="AF21" s="13" t="inlineStr">
        <is>
          <t>NA</t>
        </is>
      </c>
      <c r="AG21" s="107" t="n">
        <v>0</v>
      </c>
      <c r="AH21" s="29" t="n">
        <v>0</v>
      </c>
      <c r="AI21" s="107" t="n"/>
      <c r="AJ21" s="64" t="inlineStr">
        <is>
          <t>http://10.239.81.58/Xeon/NTA/PCIE/JNC2-dbgsh83/pxp1_12_x4x4x4x4_E1.S/SMV_Margin_Test/GEN6/</t>
        </is>
      </c>
      <c r="AK21" s="57" t="n"/>
    </row>
    <row r="22" ht="15" customHeight="1">
      <c r="A22" s="107" t="n">
        <v>21</v>
      </c>
      <c r="B22" s="107" t="inlineStr">
        <is>
          <t>1S1</t>
        </is>
      </c>
      <c r="C22" s="107" t="n">
        <v>0</v>
      </c>
      <c r="D22" s="107">
        <f>IF(C22=0,1,2)</f>
        <v/>
      </c>
      <c r="E22" s="107" t="inlineStr">
        <is>
          <t>Intel JNC2</t>
        </is>
      </c>
      <c r="F22" s="107" t="inlineStr">
        <is>
          <t>VAO254600036</t>
        </is>
      </c>
      <c r="G22" s="107" t="inlineStr">
        <is>
          <t>57729510C5D400E0</t>
        </is>
      </c>
      <c r="H22" s="107" t="inlineStr">
        <is>
          <t>ES1/Q9WJ</t>
        </is>
      </c>
      <c r="I22" s="39" t="inlineStr">
        <is>
          <t>M321R4GA3PB1-CCPPC
00CE012332050091C9</t>
        </is>
      </c>
      <c r="J22" s="107" t="inlineStr">
        <is>
          <t>32D91</t>
        </is>
      </c>
      <c r="K22" s="26" t="inlineStr">
        <is>
          <t>oks-2026.07.2-g43a8af-5fe4f9b</t>
        </is>
      </c>
      <c r="L22" s="107" t="n"/>
      <c r="M22" s="107" t="inlineStr">
        <is>
          <t>Gen6</t>
        </is>
      </c>
      <c r="N22" s="107" t="inlineStr">
        <is>
          <t>SMV_Margin</t>
        </is>
      </c>
      <c r="O22" s="107" t="inlineStr">
        <is>
          <t>x4x4x4x4</t>
        </is>
      </c>
      <c r="P22" s="107" t="inlineStr">
        <is>
          <t>E1.S</t>
        </is>
      </c>
      <c r="Q22" s="107" t="inlineStr">
        <is>
          <t>pxp1</t>
        </is>
      </c>
      <c r="R22" s="60" t="n">
        <v>4</v>
      </c>
      <c r="S22" s="105" t="n"/>
      <c r="T22" s="107" t="n">
        <v>3</v>
      </c>
      <c r="U22" s="107" t="n">
        <v>3</v>
      </c>
      <c r="V22" s="107" t="n">
        <v>3</v>
      </c>
      <c r="W22" s="42" t="n">
        <v>0.01635416666666667</v>
      </c>
      <c r="X22" s="13" t="inlineStr">
        <is>
          <t>PASS</t>
        </is>
      </c>
      <c r="Y22" s="13" t="inlineStr">
        <is>
          <t>NA</t>
        </is>
      </c>
      <c r="Z22" s="13" t="inlineStr">
        <is>
          <t>NA</t>
        </is>
      </c>
      <c r="AA22" s="13" t="inlineStr">
        <is>
          <t>NA</t>
        </is>
      </c>
      <c r="AB22" s="13" t="inlineStr">
        <is>
          <t>NA</t>
        </is>
      </c>
      <c r="AC22" s="13" t="inlineStr">
        <is>
          <t>NA</t>
        </is>
      </c>
      <c r="AD22" s="13" t="inlineStr">
        <is>
          <t>NA</t>
        </is>
      </c>
      <c r="AE22" s="13" t="inlineStr">
        <is>
          <t>NA</t>
        </is>
      </c>
      <c r="AF22" s="13" t="inlineStr">
        <is>
          <t>NA</t>
        </is>
      </c>
      <c r="AG22" s="107" t="n">
        <v>0</v>
      </c>
      <c r="AH22" s="29" t="n">
        <v>0</v>
      </c>
      <c r="AI22" s="107" t="n"/>
      <c r="AJ22" s="64" t="inlineStr">
        <is>
          <t>http://10.239.81.58/Xeon/NTA/PCIE/JNC2-dbgsh83/pxp1_12_x4x4x4x4_E1.S/SMV_Margin_Test/GEN6/</t>
        </is>
      </c>
      <c r="AK22" s="57" t="n"/>
    </row>
    <row r="23" ht="15" customHeight="1">
      <c r="A23" s="107" t="n">
        <v>22</v>
      </c>
      <c r="B23" s="107" t="inlineStr">
        <is>
          <t>1S1</t>
        </is>
      </c>
      <c r="C23" s="107" t="n">
        <v>0</v>
      </c>
      <c r="D23" s="107">
        <f>IF(C23=0,1,2)</f>
        <v/>
      </c>
      <c r="E23" s="107" t="inlineStr">
        <is>
          <t>Intel JNC2</t>
        </is>
      </c>
      <c r="F23" s="107" t="inlineStr">
        <is>
          <t>VAO254600036</t>
        </is>
      </c>
      <c r="G23" s="107" t="inlineStr">
        <is>
          <t>57729510C5D400E0</t>
        </is>
      </c>
      <c r="H23" s="107" t="inlineStr">
        <is>
          <t>ES1/Q9WJ</t>
        </is>
      </c>
      <c r="I23" s="39" t="inlineStr">
        <is>
          <t>M321R4GA3PB1-CCPPC
00CE012332050091C9</t>
        </is>
      </c>
      <c r="J23" s="107" t="inlineStr">
        <is>
          <t>32D91</t>
        </is>
      </c>
      <c r="K23" s="26" t="inlineStr">
        <is>
          <t>oks-2026.07.2-g43a8af-5fe4f9b</t>
        </is>
      </c>
      <c r="L23" s="107" t="n"/>
      <c r="M23" s="107" t="inlineStr">
        <is>
          <t>Gen6</t>
        </is>
      </c>
      <c r="N23" s="107" t="inlineStr">
        <is>
          <t>SMV_Margin</t>
        </is>
      </c>
      <c r="O23" s="107" t="inlineStr">
        <is>
          <t>x4x4x4x4</t>
        </is>
      </c>
      <c r="P23" s="107" t="inlineStr">
        <is>
          <t>E1.S</t>
        </is>
      </c>
      <c r="Q23" s="107" t="inlineStr">
        <is>
          <t>pxp1</t>
        </is>
      </c>
      <c r="R23" s="60" t="n">
        <v>6</v>
      </c>
      <c r="S23" s="105" t="n"/>
      <c r="T23" s="107" t="n">
        <v>3</v>
      </c>
      <c r="U23" s="107" t="n">
        <v>3</v>
      </c>
      <c r="V23" s="107" t="n">
        <v>3</v>
      </c>
      <c r="W23" s="42" t="n">
        <v>0.01630787037037037</v>
      </c>
      <c r="X23" s="13" t="inlineStr">
        <is>
          <t>PASS</t>
        </is>
      </c>
      <c r="Y23" s="13" t="inlineStr">
        <is>
          <t>NA</t>
        </is>
      </c>
      <c r="Z23" s="13" t="inlineStr">
        <is>
          <t>NA</t>
        </is>
      </c>
      <c r="AA23" s="13" t="inlineStr">
        <is>
          <t>NA</t>
        </is>
      </c>
      <c r="AB23" s="13" t="inlineStr">
        <is>
          <t>NA</t>
        </is>
      </c>
      <c r="AC23" s="13" t="inlineStr">
        <is>
          <t>NA</t>
        </is>
      </c>
      <c r="AD23" s="13" t="inlineStr">
        <is>
          <t>NA</t>
        </is>
      </c>
      <c r="AE23" s="13" t="inlineStr">
        <is>
          <t>NA</t>
        </is>
      </c>
      <c r="AF23" s="13" t="inlineStr">
        <is>
          <t>NA</t>
        </is>
      </c>
      <c r="AG23" s="107" t="n">
        <v>0</v>
      </c>
      <c r="AH23" s="29" t="n">
        <v>0</v>
      </c>
      <c r="AI23" s="107" t="n"/>
      <c r="AJ23" s="64" t="inlineStr">
        <is>
          <t>http://10.239.81.58/Xeon/NTA/PCIE/JNC2-dbgsh83/pxp1_12_x4x4x4x4_E1.S/SMV_Margin_Test/GEN6/</t>
        </is>
      </c>
      <c r="AK23" s="57" t="n"/>
    </row>
    <row r="24" ht="15" customHeight="1">
      <c r="A24" s="107" t="n">
        <v>23</v>
      </c>
      <c r="B24" s="107" t="inlineStr">
        <is>
          <t>1S12</t>
        </is>
      </c>
      <c r="C24" s="107" t="n">
        <v>0</v>
      </c>
      <c r="D24" s="107">
        <f>IF(C24=0,1,2)</f>
        <v/>
      </c>
      <c r="E24" s="107" t="inlineStr">
        <is>
          <t>Intel JNC2</t>
        </is>
      </c>
      <c r="F24" s="107" t="inlineStr">
        <is>
          <t>VAO254600036</t>
        </is>
      </c>
      <c r="G24" s="107" t="inlineStr">
        <is>
          <t>57729510C5D400E0</t>
        </is>
      </c>
      <c r="H24" s="107" t="inlineStr">
        <is>
          <t>ES1/Q9WJ</t>
        </is>
      </c>
      <c r="I24" s="39" t="inlineStr">
        <is>
          <t>M321R4GA3PB1-CCPPC
00CE012332050091C9</t>
        </is>
      </c>
      <c r="J24" s="107" t="inlineStr">
        <is>
          <t>32D91</t>
        </is>
      </c>
      <c r="K24" s="26" t="inlineStr">
        <is>
          <t>oks-2026.07.2-g43a8af-5fe4f9b</t>
        </is>
      </c>
      <c r="L24" s="107" t="n"/>
      <c r="M24" s="107" t="inlineStr">
        <is>
          <t>Gen6</t>
        </is>
      </c>
      <c r="N24" s="107" t="inlineStr">
        <is>
          <t>SMV_Margin</t>
        </is>
      </c>
      <c r="O24" s="107" t="inlineStr">
        <is>
          <t>x4x4x4x4</t>
        </is>
      </c>
      <c r="P24" s="107" t="inlineStr">
        <is>
          <t>E1.S</t>
        </is>
      </c>
      <c r="Q24" s="107" t="inlineStr">
        <is>
          <t>pxp12</t>
        </is>
      </c>
      <c r="R24" s="60" t="n">
        <v>0</v>
      </c>
      <c r="S24" s="105" t="n"/>
      <c r="T24" s="107" t="n">
        <v>3</v>
      </c>
      <c r="U24" s="107" t="n">
        <v>3</v>
      </c>
      <c r="V24" s="107" t="n">
        <v>3</v>
      </c>
      <c r="W24" s="42" t="n">
        <v>0.01629629629629629</v>
      </c>
      <c r="X24" s="13" t="inlineStr">
        <is>
          <t>PASS</t>
        </is>
      </c>
      <c r="Y24" s="13" t="inlineStr">
        <is>
          <t>NA</t>
        </is>
      </c>
      <c r="Z24" s="13" t="inlineStr">
        <is>
          <t>NA</t>
        </is>
      </c>
      <c r="AA24" s="13" t="inlineStr">
        <is>
          <t>NA</t>
        </is>
      </c>
      <c r="AB24" s="13" t="inlineStr">
        <is>
          <t>NA</t>
        </is>
      </c>
      <c r="AC24" s="13" t="inlineStr">
        <is>
          <t>NA</t>
        </is>
      </c>
      <c r="AD24" s="13" t="inlineStr">
        <is>
          <t>NA</t>
        </is>
      </c>
      <c r="AE24" s="13" t="inlineStr">
        <is>
          <t>NA</t>
        </is>
      </c>
      <c r="AF24" s="13" t="inlineStr">
        <is>
          <t>NA</t>
        </is>
      </c>
      <c r="AG24" s="107" t="n">
        <v>0</v>
      </c>
      <c r="AH24" s="29" t="n">
        <v>0</v>
      </c>
      <c r="AI24" s="107" t="n"/>
      <c r="AJ24" s="64" t="inlineStr">
        <is>
          <t>http://10.239.81.58/Xeon/NTA/PCIE/JNC2-dbgsh83/pxp1_12_x4x4x4x4_E1.S/SMV_Margin_Test/GEN6/</t>
        </is>
      </c>
      <c r="AK24" s="57" t="n"/>
    </row>
    <row r="25" ht="15" customHeight="1">
      <c r="A25" s="107" t="n">
        <v>24</v>
      </c>
      <c r="B25" s="107" t="inlineStr">
        <is>
          <t>1S12</t>
        </is>
      </c>
      <c r="C25" s="107" t="n">
        <v>0</v>
      </c>
      <c r="D25" s="107">
        <f>IF(C25=0,1,2)</f>
        <v/>
      </c>
      <c r="E25" s="107" t="inlineStr">
        <is>
          <t>Intel JNC2</t>
        </is>
      </c>
      <c r="F25" s="107" t="inlineStr">
        <is>
          <t>VAO254600036</t>
        </is>
      </c>
      <c r="G25" s="107" t="inlineStr">
        <is>
          <t>57729510C5D400E0</t>
        </is>
      </c>
      <c r="H25" s="107" t="inlineStr">
        <is>
          <t>ES1/Q9WJ</t>
        </is>
      </c>
      <c r="I25" s="39" t="inlineStr">
        <is>
          <t>M321R4GA3PB1-CCPPC
00CE012332050091C9</t>
        </is>
      </c>
      <c r="J25" s="107" t="inlineStr">
        <is>
          <t>32D91</t>
        </is>
      </c>
      <c r="K25" s="26" t="inlineStr">
        <is>
          <t>oks-2026.07.2-g43a8af-5fe4f9b</t>
        </is>
      </c>
      <c r="L25" s="107" t="n"/>
      <c r="M25" s="107" t="inlineStr">
        <is>
          <t>Gen6</t>
        </is>
      </c>
      <c r="N25" s="107" t="inlineStr">
        <is>
          <t>SMV_Margin</t>
        </is>
      </c>
      <c r="O25" s="107" t="inlineStr">
        <is>
          <t>x4x4x4x4</t>
        </is>
      </c>
      <c r="P25" s="107" t="inlineStr">
        <is>
          <t>E1.S</t>
        </is>
      </c>
      <c r="Q25" s="107" t="inlineStr">
        <is>
          <t>pxp12</t>
        </is>
      </c>
      <c r="R25" s="60" t="n">
        <v>2</v>
      </c>
      <c r="S25" s="105" t="n"/>
      <c r="T25" s="107" t="n">
        <v>3</v>
      </c>
      <c r="U25" s="107" t="n">
        <v>3</v>
      </c>
      <c r="V25" s="107" t="n">
        <v>3</v>
      </c>
      <c r="W25" s="42" t="n">
        <v>0.01648148148148148</v>
      </c>
      <c r="X25" s="13" t="inlineStr">
        <is>
          <t>PASS</t>
        </is>
      </c>
      <c r="Y25" s="13" t="inlineStr">
        <is>
          <t>NA</t>
        </is>
      </c>
      <c r="Z25" s="13" t="inlineStr">
        <is>
          <t>NA</t>
        </is>
      </c>
      <c r="AA25" s="13" t="inlineStr">
        <is>
          <t>NA</t>
        </is>
      </c>
      <c r="AB25" s="13" t="inlineStr">
        <is>
          <t>NA</t>
        </is>
      </c>
      <c r="AC25" s="13" t="inlineStr">
        <is>
          <t>NA</t>
        </is>
      </c>
      <c r="AD25" s="13" t="inlineStr">
        <is>
          <t>NA</t>
        </is>
      </c>
      <c r="AE25" s="13" t="inlineStr">
        <is>
          <t>NA</t>
        </is>
      </c>
      <c r="AF25" s="13" t="inlineStr">
        <is>
          <t>NA</t>
        </is>
      </c>
      <c r="AG25" s="107" t="n">
        <v>0</v>
      </c>
      <c r="AH25" s="29" t="n">
        <v>0</v>
      </c>
      <c r="AI25" s="107" t="n"/>
      <c r="AJ25" s="64" t="inlineStr">
        <is>
          <t>http://10.239.81.58/Xeon/NTA/PCIE/JNC2-dbgsh83/pxp1_12_x4x4x4x4_E1.S/SMV_Margin_Test/GEN6/</t>
        </is>
      </c>
      <c r="AK25" s="57" t="n"/>
    </row>
    <row r="26" ht="15" customHeight="1">
      <c r="A26" s="107" t="n">
        <v>25</v>
      </c>
      <c r="B26" s="107" t="inlineStr">
        <is>
          <t>1S12</t>
        </is>
      </c>
      <c r="C26" s="107" t="n">
        <v>0</v>
      </c>
      <c r="D26" s="107">
        <f>IF(C26=0,1,2)</f>
        <v/>
      </c>
      <c r="E26" s="107" t="inlineStr">
        <is>
          <t>Intel JNC2</t>
        </is>
      </c>
      <c r="F26" s="107" t="inlineStr">
        <is>
          <t>VAO254600036</t>
        </is>
      </c>
      <c r="G26" s="107" t="inlineStr">
        <is>
          <t>57729510C5D400E0</t>
        </is>
      </c>
      <c r="H26" s="107" t="inlineStr">
        <is>
          <t>ES1/Q9WJ</t>
        </is>
      </c>
      <c r="I26" s="39" t="inlineStr">
        <is>
          <t>M321R4GA3PB1-CCPPC
00CE012332050091C9</t>
        </is>
      </c>
      <c r="J26" s="107" t="inlineStr">
        <is>
          <t>32D91</t>
        </is>
      </c>
      <c r="K26" s="26" t="inlineStr">
        <is>
          <t>oks-2026.07.2-g43a8af-5fe4f9b</t>
        </is>
      </c>
      <c r="L26" s="107" t="n"/>
      <c r="M26" s="107" t="inlineStr">
        <is>
          <t>Gen6</t>
        </is>
      </c>
      <c r="N26" s="107" t="inlineStr">
        <is>
          <t>SMV_Margin</t>
        </is>
      </c>
      <c r="O26" s="107" t="inlineStr">
        <is>
          <t>x4x4x4x4</t>
        </is>
      </c>
      <c r="P26" s="107" t="inlineStr">
        <is>
          <t>E1.S</t>
        </is>
      </c>
      <c r="Q26" s="107" t="inlineStr">
        <is>
          <t>pxp12</t>
        </is>
      </c>
      <c r="R26" s="60" t="n">
        <v>4</v>
      </c>
      <c r="S26" s="105" t="n"/>
      <c r="T26" s="107" t="n">
        <v>3</v>
      </c>
      <c r="U26" s="107" t="n">
        <v>3</v>
      </c>
      <c r="V26" s="107" t="n">
        <v>3</v>
      </c>
      <c r="W26" s="42" t="n">
        <v>0.01614583333333333</v>
      </c>
      <c r="X26" s="13" t="inlineStr">
        <is>
          <t>PASS</t>
        </is>
      </c>
      <c r="Y26" s="13" t="inlineStr">
        <is>
          <t>NA</t>
        </is>
      </c>
      <c r="Z26" s="13" t="inlineStr">
        <is>
          <t>NA</t>
        </is>
      </c>
      <c r="AA26" s="13" t="inlineStr">
        <is>
          <t>NA</t>
        </is>
      </c>
      <c r="AB26" s="13" t="inlineStr">
        <is>
          <t>NA</t>
        </is>
      </c>
      <c r="AC26" s="13" t="inlineStr">
        <is>
          <t>NA</t>
        </is>
      </c>
      <c r="AD26" s="13" t="inlineStr">
        <is>
          <t>NA</t>
        </is>
      </c>
      <c r="AE26" s="13" t="inlineStr">
        <is>
          <t>NA</t>
        </is>
      </c>
      <c r="AF26" s="13" t="inlineStr">
        <is>
          <t>NA</t>
        </is>
      </c>
      <c r="AG26" s="107" t="n">
        <v>0</v>
      </c>
      <c r="AH26" s="29" t="n">
        <v>0</v>
      </c>
      <c r="AI26" s="107" t="n"/>
      <c r="AJ26" s="64" t="inlineStr">
        <is>
          <t>http://10.239.81.58/Xeon/NTA/PCIE/JNC2-dbgsh83/pxp1_12_x4x4x4x4_E1.S/SMV_Margin_Test/GEN6/</t>
        </is>
      </c>
      <c r="AK26" s="57" t="n"/>
    </row>
    <row r="27" ht="15" customHeight="1">
      <c r="A27" s="107" t="n">
        <v>26</v>
      </c>
      <c r="B27" s="107" t="inlineStr">
        <is>
          <t>1S12</t>
        </is>
      </c>
      <c r="C27" s="107" t="n">
        <v>0</v>
      </c>
      <c r="D27" s="107">
        <f>IF(C27=0,1,2)</f>
        <v/>
      </c>
      <c r="E27" s="107" t="inlineStr">
        <is>
          <t>Intel JNC2</t>
        </is>
      </c>
      <c r="F27" s="107" t="inlineStr">
        <is>
          <t>VAO254600036</t>
        </is>
      </c>
      <c r="G27" s="107" t="inlineStr">
        <is>
          <t>57729510C5D400E0</t>
        </is>
      </c>
      <c r="H27" s="107" t="inlineStr">
        <is>
          <t>ES1/Q9WJ</t>
        </is>
      </c>
      <c r="I27" s="39" t="inlineStr">
        <is>
          <t>M321R4GA3PB1-CCPPC
00CE012332050091C9</t>
        </is>
      </c>
      <c r="J27" s="107" t="inlineStr">
        <is>
          <t>32D91</t>
        </is>
      </c>
      <c r="K27" s="26" t="inlineStr">
        <is>
          <t>oks-2026.07.2-g43a8af-5fe4f9b</t>
        </is>
      </c>
      <c r="L27" s="107" t="n"/>
      <c r="M27" s="107" t="inlineStr">
        <is>
          <t>Gen6</t>
        </is>
      </c>
      <c r="N27" s="107" t="inlineStr">
        <is>
          <t>SMV_Margin</t>
        </is>
      </c>
      <c r="O27" s="107" t="inlineStr">
        <is>
          <t>x4x4x4x4</t>
        </is>
      </c>
      <c r="P27" s="107" t="inlineStr">
        <is>
          <t>E1.S</t>
        </is>
      </c>
      <c r="Q27" s="107" t="inlineStr">
        <is>
          <t>pxp12</t>
        </is>
      </c>
      <c r="R27" s="60" t="n">
        <v>6</v>
      </c>
      <c r="S27" s="105" t="n"/>
      <c r="T27" s="107" t="n">
        <v>3</v>
      </c>
      <c r="U27" s="107" t="n">
        <v>3</v>
      </c>
      <c r="V27" s="107" t="n">
        <v>3</v>
      </c>
      <c r="W27" s="42" t="n">
        <v>0.01626157407407407</v>
      </c>
      <c r="X27" s="13" t="inlineStr">
        <is>
          <t>PASS</t>
        </is>
      </c>
      <c r="Y27" s="13" t="inlineStr">
        <is>
          <t>NA</t>
        </is>
      </c>
      <c r="Z27" s="13" t="inlineStr">
        <is>
          <t>NA</t>
        </is>
      </c>
      <c r="AA27" s="13" t="inlineStr">
        <is>
          <t>NA</t>
        </is>
      </c>
      <c r="AB27" s="13" t="inlineStr">
        <is>
          <t>NA</t>
        </is>
      </c>
      <c r="AC27" s="13" t="inlineStr">
        <is>
          <t>NA</t>
        </is>
      </c>
      <c r="AD27" s="13" t="inlineStr">
        <is>
          <t>NA</t>
        </is>
      </c>
      <c r="AE27" s="13" t="inlineStr">
        <is>
          <t>NA</t>
        </is>
      </c>
      <c r="AF27" s="13" t="inlineStr">
        <is>
          <t>NA</t>
        </is>
      </c>
      <c r="AG27" s="107" t="n">
        <v>0</v>
      </c>
      <c r="AH27" s="29" t="n">
        <v>0</v>
      </c>
      <c r="AI27" s="107" t="n"/>
      <c r="AJ27" s="64" t="inlineStr">
        <is>
          <t>http://10.239.81.58/Xeon/NTA/PCIE/JNC2-dbgsh83/pxp1_12_x4x4x4x4_E1.S/SMV_Margin_Test/GEN6/</t>
        </is>
      </c>
      <c r="AK27" s="57" t="n"/>
    </row>
    <row r="28" hidden="1" ht="15" customHeight="1">
      <c r="A28" s="107" t="n">
        <v>27</v>
      </c>
      <c r="B28" s="107" t="inlineStr">
        <is>
          <t>2L1</t>
        </is>
      </c>
      <c r="C28" s="107" t="n">
        <v>0</v>
      </c>
      <c r="D28" s="107">
        <f>IF(C28=0,1,2)</f>
        <v/>
      </c>
      <c r="E28" s="107" t="inlineStr">
        <is>
          <t>Intel JNC2</t>
        </is>
      </c>
      <c r="F28" s="107" t="inlineStr">
        <is>
          <t>VAO254600036</t>
        </is>
      </c>
      <c r="G28" s="107" t="inlineStr">
        <is>
          <t>5772954CF1246B4E</t>
        </is>
      </c>
      <c r="H28" s="107" t="inlineStr">
        <is>
          <t>ES1/Q9WJ</t>
        </is>
      </c>
      <c r="I28" s="39" t="inlineStr">
        <is>
          <t>M321R4GA3PB1-CCPPC
00CE012332050091C9</t>
        </is>
      </c>
      <c r="J28" s="107" t="inlineStr">
        <is>
          <t>32D91</t>
        </is>
      </c>
      <c r="K28" s="26" t="inlineStr">
        <is>
          <t>oks-2026.07.2-g43a8af-5fe4f9b</t>
        </is>
      </c>
      <c r="L28" s="107" t="n"/>
      <c r="M28" s="107" t="inlineStr">
        <is>
          <t>Gen5</t>
        </is>
      </c>
      <c r="N28" s="107" t="inlineStr">
        <is>
          <t>LTSSM</t>
        </is>
      </c>
      <c r="O28" s="107" t="inlineStr">
        <is>
          <t>x16</t>
        </is>
      </c>
      <c r="P28" s="107" t="inlineStr">
        <is>
          <t>CX8</t>
        </is>
      </c>
      <c r="Q28" s="107" t="inlineStr">
        <is>
          <t>pxp1</t>
        </is>
      </c>
      <c r="R28" s="63" t="n"/>
      <c r="S28" s="105" t="n"/>
      <c r="T28" s="107" t="n">
        <v>1000</v>
      </c>
      <c r="U28" s="107" t="inlineStr">
        <is>
          <t>NA</t>
        </is>
      </c>
      <c r="V28" s="107" t="inlineStr">
        <is>
          <t>NA</t>
        </is>
      </c>
      <c r="W28" s="42" t="n">
        <v>0.1019444444444444</v>
      </c>
      <c r="X28" s="13" t="inlineStr">
        <is>
          <t>FAIL</t>
        </is>
      </c>
      <c r="Y28" s="13" t="inlineStr">
        <is>
          <t>PASS</t>
        </is>
      </c>
      <c r="Z28" s="13" t="inlineStr">
        <is>
          <t>PASS</t>
        </is>
      </c>
      <c r="AA28" s="13" t="inlineStr">
        <is>
          <t>PASS</t>
        </is>
      </c>
      <c r="AB28" s="13" t="inlineStr">
        <is>
          <t>PASS</t>
        </is>
      </c>
      <c r="AC28" s="13" t="inlineStr">
        <is>
          <t>FAIL</t>
        </is>
      </c>
      <c r="AD28" s="13" t="inlineStr">
        <is>
          <t>PASS</t>
        </is>
      </c>
      <c r="AE28" s="13" t="inlineStr">
        <is>
          <t>PASS</t>
        </is>
      </c>
      <c r="AF28" s="13" t="inlineStr">
        <is>
          <t>FAIL</t>
        </is>
      </c>
      <c r="AG28" s="107" t="n">
        <v>15</v>
      </c>
      <c r="AH28" s="29">
        <f>AG28/T28</f>
        <v/>
      </c>
      <c r="AI28" s="107" t="n"/>
      <c r="AJ28" s="64" t="inlineStr">
        <is>
          <t>http://10.239.81.58/Xeon/NTA/PCIE/JNC2-dbgsh83/pxp1/LTSSM_Stress/</t>
        </is>
      </c>
      <c r="AK28" s="57" t="inlineStr">
        <is>
          <t>PML1:Correctable error</t>
        </is>
      </c>
    </row>
    <row r="29" hidden="1" ht="15" customHeight="1">
      <c r="A29" s="107" t="n">
        <v>28</v>
      </c>
      <c r="B29" s="107" t="inlineStr">
        <is>
          <t>2L3</t>
        </is>
      </c>
      <c r="C29" s="107" t="n">
        <v>0</v>
      </c>
      <c r="D29" s="107">
        <f>IF(C29=0,1,2)</f>
        <v/>
      </c>
      <c r="E29" s="107" t="inlineStr">
        <is>
          <t>Intel JNC2</t>
        </is>
      </c>
      <c r="F29" s="107" t="inlineStr">
        <is>
          <t>VAO254600036</t>
        </is>
      </c>
      <c r="G29" s="107" t="inlineStr">
        <is>
          <t>5772954CF1246B4E</t>
        </is>
      </c>
      <c r="H29" s="107" t="inlineStr">
        <is>
          <t>ES1/Q9WJ</t>
        </is>
      </c>
      <c r="I29" s="39" t="inlineStr">
        <is>
          <t>M321R4GA3PB1-CCPPC
00CE012332050091C9</t>
        </is>
      </c>
      <c r="J29" s="107" t="inlineStr">
        <is>
          <t>32D91</t>
        </is>
      </c>
      <c r="K29" s="26" t="inlineStr">
        <is>
          <t>oks-2026.07.2-g43a8af-5fe4f9b</t>
        </is>
      </c>
      <c r="L29" s="107" t="n"/>
      <c r="M29" s="107" t="inlineStr">
        <is>
          <t>Gen5</t>
        </is>
      </c>
      <c r="N29" s="107" t="inlineStr">
        <is>
          <t>LTSSM</t>
        </is>
      </c>
      <c r="O29" s="107" t="inlineStr">
        <is>
          <t>x16</t>
        </is>
      </c>
      <c r="P29" s="107" t="inlineStr">
        <is>
          <t>CX8</t>
        </is>
      </c>
      <c r="Q29" s="107" t="inlineStr">
        <is>
          <t>pxp3</t>
        </is>
      </c>
      <c r="R29" s="63" t="n"/>
      <c r="S29" s="105" t="n"/>
      <c r="T29" s="107" t="n">
        <v>1000</v>
      </c>
      <c r="U29" s="107" t="inlineStr">
        <is>
          <t>NA</t>
        </is>
      </c>
      <c r="V29" s="107" t="inlineStr">
        <is>
          <t>NA</t>
        </is>
      </c>
      <c r="W29" s="42" t="n">
        <v>0.1017939814814815</v>
      </c>
      <c r="X29" s="13" t="inlineStr">
        <is>
          <t>PASS</t>
        </is>
      </c>
      <c r="Y29" s="13" t="inlineStr">
        <is>
          <t>PASS</t>
        </is>
      </c>
      <c r="Z29" s="13" t="inlineStr">
        <is>
          <t>PASS</t>
        </is>
      </c>
      <c r="AA29" s="13" t="inlineStr">
        <is>
          <t>PASS</t>
        </is>
      </c>
      <c r="AB29" s="13" t="inlineStr">
        <is>
          <t>PASS</t>
        </is>
      </c>
      <c r="AC29" s="13" t="inlineStr">
        <is>
          <t>PASS</t>
        </is>
      </c>
      <c r="AD29" s="13" t="inlineStr">
        <is>
          <t>PASS</t>
        </is>
      </c>
      <c r="AE29" s="13" t="inlineStr">
        <is>
          <t>PASS</t>
        </is>
      </c>
      <c r="AF29" s="13" t="inlineStr">
        <is>
          <t>PASS</t>
        </is>
      </c>
      <c r="AG29" s="107" t="n">
        <v>0</v>
      </c>
      <c r="AH29" s="29">
        <f>AG29/T29</f>
        <v/>
      </c>
      <c r="AI29" s="107" t="n"/>
      <c r="AJ29" s="64" t="inlineStr">
        <is>
          <t>http://10.239.81.58/Xeon/NTA/PCIE/JNC2-dbgsh83/pxp3/LTSSM_Stress/</t>
        </is>
      </c>
      <c r="AK29" s="57" t="n"/>
    </row>
    <row r="30" hidden="1" ht="15" customHeight="1">
      <c r="A30" s="107" t="n">
        <v>29</v>
      </c>
      <c r="B30" s="107" t="inlineStr">
        <is>
          <t>2L4</t>
        </is>
      </c>
      <c r="C30" s="107" t="n">
        <v>0</v>
      </c>
      <c r="D30" s="107">
        <f>IF(C30=0,1,2)</f>
        <v/>
      </c>
      <c r="E30" s="107" t="inlineStr">
        <is>
          <t>Intel JNC2</t>
        </is>
      </c>
      <c r="F30" s="107" t="inlineStr">
        <is>
          <t>VAO254600036</t>
        </is>
      </c>
      <c r="G30" s="107" t="inlineStr">
        <is>
          <t>57729510C5D400E0</t>
        </is>
      </c>
      <c r="H30" s="107" t="inlineStr">
        <is>
          <t>ES1/Q9WJ</t>
        </is>
      </c>
      <c r="I30" s="39" t="inlineStr">
        <is>
          <t>M321R4GA3PB1-CCPPC
00CE012332050091C9</t>
        </is>
      </c>
      <c r="J30" s="107" t="inlineStr">
        <is>
          <t>32D91</t>
        </is>
      </c>
      <c r="K30" s="26" t="inlineStr">
        <is>
          <t>oks-2026.07.2-g43a8af-5fe4f9b</t>
        </is>
      </c>
      <c r="L30" s="107" t="n"/>
      <c r="M30" s="107" t="inlineStr">
        <is>
          <t>Gen5</t>
        </is>
      </c>
      <c r="N30" s="107" t="inlineStr">
        <is>
          <t>LTSSM</t>
        </is>
      </c>
      <c r="O30" s="107" t="inlineStr">
        <is>
          <t>x16</t>
        </is>
      </c>
      <c r="P30" s="107" t="inlineStr">
        <is>
          <t>CX8</t>
        </is>
      </c>
      <c r="Q30" s="107" t="inlineStr">
        <is>
          <t>pxp4</t>
        </is>
      </c>
      <c r="R30" s="63" t="n"/>
      <c r="S30" s="105" t="n"/>
      <c r="T30" s="107" t="n">
        <v>1000</v>
      </c>
      <c r="U30" s="107" t="inlineStr">
        <is>
          <t>NA</t>
        </is>
      </c>
      <c r="V30" s="107" t="inlineStr">
        <is>
          <t>NA</t>
        </is>
      </c>
      <c r="W30" s="42" t="n">
        <v>0.1016319444444444</v>
      </c>
      <c r="X30" s="13" t="inlineStr">
        <is>
          <t>PASS</t>
        </is>
      </c>
      <c r="Y30" s="13" t="inlineStr">
        <is>
          <t>PASS</t>
        </is>
      </c>
      <c r="Z30" s="13" t="inlineStr">
        <is>
          <t>PASS</t>
        </is>
      </c>
      <c r="AA30" s="13" t="inlineStr">
        <is>
          <t>PASS</t>
        </is>
      </c>
      <c r="AB30" s="13" t="inlineStr">
        <is>
          <t>PASS</t>
        </is>
      </c>
      <c r="AC30" s="13" t="inlineStr">
        <is>
          <t>PASS</t>
        </is>
      </c>
      <c r="AD30" s="13" t="inlineStr">
        <is>
          <t>PASS</t>
        </is>
      </c>
      <c r="AE30" s="13" t="inlineStr">
        <is>
          <t>PASS</t>
        </is>
      </c>
      <c r="AF30" s="13" t="inlineStr">
        <is>
          <t>PASS</t>
        </is>
      </c>
      <c r="AG30" s="107" t="n">
        <v>0</v>
      </c>
      <c r="AH30" s="29">
        <f>AG30/T30</f>
        <v/>
      </c>
      <c r="AI30" s="107" t="n"/>
      <c r="AJ30" s="64" t="inlineStr">
        <is>
          <t>http://10.239.81.58/Xeon/NTA/PCIE/JNC2-dbgsh83/pxp4/LTSSM_Stress/</t>
        </is>
      </c>
      <c r="AK30" s="57" t="n"/>
    </row>
    <row r="31" hidden="1" ht="15" customHeight="1">
      <c r="A31" s="107" t="n">
        <v>30</v>
      </c>
      <c r="B31" s="107" t="inlineStr">
        <is>
          <t>2L9</t>
        </is>
      </c>
      <c r="C31" s="107" t="n">
        <v>0</v>
      </c>
      <c r="D31" s="107">
        <f>IF(C31=0,1,2)</f>
        <v/>
      </c>
      <c r="E31" s="107" t="inlineStr">
        <is>
          <t>Intel JNC2</t>
        </is>
      </c>
      <c r="F31" s="107" t="inlineStr">
        <is>
          <t>VAO254600036</t>
        </is>
      </c>
      <c r="G31" s="107" t="inlineStr">
        <is>
          <t>5772954CF1246B4E</t>
        </is>
      </c>
      <c r="H31" s="107" t="inlineStr">
        <is>
          <t>ES1/Q9WJ</t>
        </is>
      </c>
      <c r="I31" s="39" t="inlineStr">
        <is>
          <t>M321R4GA3PB1-CCPPC
00CE012332050091C9</t>
        </is>
      </c>
      <c r="J31" s="107" t="inlineStr">
        <is>
          <t>32D91</t>
        </is>
      </c>
      <c r="K31" s="26" t="inlineStr">
        <is>
          <t>oks-2026.07.2-g43a8af-5fe4f9b</t>
        </is>
      </c>
      <c r="L31" s="107" t="n"/>
      <c r="M31" s="107" t="inlineStr">
        <is>
          <t>Gen5</t>
        </is>
      </c>
      <c r="N31" s="107" t="inlineStr">
        <is>
          <t>LTSSM</t>
        </is>
      </c>
      <c r="O31" s="107" t="inlineStr">
        <is>
          <t>x16</t>
        </is>
      </c>
      <c r="P31" s="107" t="inlineStr">
        <is>
          <t>CX8</t>
        </is>
      </c>
      <c r="Q31" s="107" t="inlineStr">
        <is>
          <t>pxp9</t>
        </is>
      </c>
      <c r="R31" s="63" t="n"/>
      <c r="S31" s="105" t="n"/>
      <c r="T31" s="107" t="n">
        <v>1000</v>
      </c>
      <c r="U31" s="107" t="inlineStr">
        <is>
          <t>NA</t>
        </is>
      </c>
      <c r="V31" s="107" t="inlineStr">
        <is>
          <t>NA</t>
        </is>
      </c>
      <c r="W31" s="42" t="n">
        <v>0.1345023148148148</v>
      </c>
      <c r="X31" s="13" t="inlineStr">
        <is>
          <t>PASS</t>
        </is>
      </c>
      <c r="Y31" s="13" t="inlineStr">
        <is>
          <t>PASS</t>
        </is>
      </c>
      <c r="Z31" s="13" t="inlineStr">
        <is>
          <t>PASS</t>
        </is>
      </c>
      <c r="AA31" s="13" t="inlineStr">
        <is>
          <t>PASS</t>
        </is>
      </c>
      <c r="AB31" s="13" t="inlineStr">
        <is>
          <t>PASS</t>
        </is>
      </c>
      <c r="AC31" s="13" t="inlineStr">
        <is>
          <t>PASS</t>
        </is>
      </c>
      <c r="AD31" s="13" t="inlineStr">
        <is>
          <t>PASS</t>
        </is>
      </c>
      <c r="AE31" s="13" t="inlineStr">
        <is>
          <t>PASS</t>
        </is>
      </c>
      <c r="AF31" s="13" t="inlineStr">
        <is>
          <t>PASS</t>
        </is>
      </c>
      <c r="AG31" s="107" t="n">
        <v>0</v>
      </c>
      <c r="AH31" s="29">
        <f>AG31/T31</f>
        <v/>
      </c>
      <c r="AI31" s="107" t="n"/>
      <c r="AJ31" s="64" t="inlineStr">
        <is>
          <t>http://10.239.81.58/Xeon/NTA/PCIE/JNC2-dbgsh83/pxp9/LTSSM_Stress/</t>
        </is>
      </c>
      <c r="AK31" s="57" t="n"/>
    </row>
    <row r="32" hidden="1" ht="15" customHeight="1">
      <c r="A32" s="107" t="n">
        <v>31</v>
      </c>
      <c r="B32" s="107" t="inlineStr">
        <is>
          <t>2L11</t>
        </is>
      </c>
      <c r="C32" s="107" t="n">
        <v>0</v>
      </c>
      <c r="D32" s="107">
        <f>IF(C32=0,1,2)</f>
        <v/>
      </c>
      <c r="E32" s="107" t="inlineStr">
        <is>
          <t>Intel JNC2</t>
        </is>
      </c>
      <c r="F32" s="107" t="inlineStr">
        <is>
          <t>VAO254600036</t>
        </is>
      </c>
      <c r="G32" s="107" t="inlineStr">
        <is>
          <t>57729510C5D400E0</t>
        </is>
      </c>
      <c r="H32" s="107" t="inlineStr">
        <is>
          <t>ES1/Q9WJ</t>
        </is>
      </c>
      <c r="I32" s="39" t="inlineStr">
        <is>
          <t>M321R4GA3PB1-CCPPC
00CE012332050091C9</t>
        </is>
      </c>
      <c r="J32" s="107" t="inlineStr">
        <is>
          <t>32D91</t>
        </is>
      </c>
      <c r="K32" s="26" t="inlineStr">
        <is>
          <t>oks-2026.07.2-g43a8af-5fe4f9b</t>
        </is>
      </c>
      <c r="L32" s="107" t="n"/>
      <c r="M32" s="107" t="inlineStr">
        <is>
          <t>Gen5</t>
        </is>
      </c>
      <c r="N32" s="107" t="inlineStr">
        <is>
          <t>LTSSM</t>
        </is>
      </c>
      <c r="O32" s="107" t="inlineStr">
        <is>
          <t>x16</t>
        </is>
      </c>
      <c r="P32" s="107" t="inlineStr">
        <is>
          <t>CX8</t>
        </is>
      </c>
      <c r="Q32" s="107" t="inlineStr">
        <is>
          <t>pxp11</t>
        </is>
      </c>
      <c r="R32" s="63" t="n"/>
      <c r="S32" s="107" t="n"/>
      <c r="T32" s="107" t="n">
        <v>1000</v>
      </c>
      <c r="U32" s="107" t="inlineStr">
        <is>
          <t>NA</t>
        </is>
      </c>
      <c r="V32" s="107" t="inlineStr">
        <is>
          <t>NA</t>
        </is>
      </c>
      <c r="W32" s="42" t="n">
        <v>0.1339351851851852</v>
      </c>
      <c r="X32" s="13" t="inlineStr">
        <is>
          <t>FAIL</t>
        </is>
      </c>
      <c r="Y32" s="13" t="inlineStr">
        <is>
          <t>PASS</t>
        </is>
      </c>
      <c r="Z32" s="13" t="inlineStr">
        <is>
          <t>FAIL</t>
        </is>
      </c>
      <c r="AA32" s="13" t="inlineStr">
        <is>
          <t>PASS</t>
        </is>
      </c>
      <c r="AB32" s="13" t="inlineStr">
        <is>
          <t>PASS</t>
        </is>
      </c>
      <c r="AC32" s="13" t="inlineStr">
        <is>
          <t>PASS</t>
        </is>
      </c>
      <c r="AD32" s="13" t="inlineStr">
        <is>
          <t>FAIL</t>
        </is>
      </c>
      <c r="AE32" s="13" t="inlineStr">
        <is>
          <t>FAIL</t>
        </is>
      </c>
      <c r="AF32" s="13" t="inlineStr">
        <is>
          <t>PASS</t>
        </is>
      </c>
      <c r="AG32" s="107" t="n">
        <v>273</v>
      </c>
      <c r="AH32" s="29">
        <f>AG32/T32</f>
        <v/>
      </c>
      <c r="AI32" s="107" t="n"/>
      <c r="AJ32" s="64" t="inlineStr">
        <is>
          <t>http://10.239.81.58/Xeon/NTA/PCIE/JNC2-dbgsh83/pxp11/LTSSM_Stress/</t>
        </is>
      </c>
      <c r="AK32" s="57" t="inlineStr">
        <is>
          <t xml:space="preserve">pxp11.port0 has detected uncorrectable errors:
Uncorrectable Bridge Errors
LTSSM1 Bridge Errors
IBST Bridge Errors
</t>
        </is>
      </c>
    </row>
    <row r="33" ht="15" customHeight="1">
      <c r="A33" s="107" t="n">
        <v>32</v>
      </c>
      <c r="B33" s="107" t="inlineStr">
        <is>
          <t>2L1</t>
        </is>
      </c>
      <c r="C33" s="107" t="n">
        <v>0</v>
      </c>
      <c r="D33" s="107">
        <f>IF(C33=0,1,2)</f>
        <v/>
      </c>
      <c r="E33" s="107" t="inlineStr">
        <is>
          <t>Intel JNC2</t>
        </is>
      </c>
      <c r="F33" s="107" t="inlineStr">
        <is>
          <t>VAO254600036</t>
        </is>
      </c>
      <c r="G33" s="107" t="inlineStr">
        <is>
          <t>57729510C5D400E0</t>
        </is>
      </c>
      <c r="H33" s="107" t="inlineStr">
        <is>
          <t>ES1/Q9WJ</t>
        </is>
      </c>
      <c r="I33" s="39" t="inlineStr">
        <is>
          <t>M321R4GA3PB1-CCPPC
00CE012332050091C9</t>
        </is>
      </c>
      <c r="J33" s="107" t="inlineStr">
        <is>
          <t>32D91</t>
        </is>
      </c>
      <c r="K33" s="26" t="inlineStr">
        <is>
          <t>oks-2026.07.2-g43a8af-5fe4f9b</t>
        </is>
      </c>
      <c r="L33" s="107" t="n"/>
      <c r="M33" s="107" t="inlineStr">
        <is>
          <t>Gen5</t>
        </is>
      </c>
      <c r="N33" s="107" t="inlineStr">
        <is>
          <t>LTSSM</t>
        </is>
      </c>
      <c r="O33" s="107" t="inlineStr">
        <is>
          <t>x4x4x4x4</t>
        </is>
      </c>
      <c r="P33" s="107" t="inlineStr">
        <is>
          <t>E1.S</t>
        </is>
      </c>
      <c r="Q33" s="107" t="inlineStr">
        <is>
          <t>pxp1</t>
        </is>
      </c>
      <c r="R33" s="60" t="n">
        <v>0</v>
      </c>
      <c r="S33" s="105" t="n"/>
      <c r="T33" s="107" t="n">
        <v>1000</v>
      </c>
      <c r="U33" s="107" t="inlineStr">
        <is>
          <t>NA</t>
        </is>
      </c>
      <c r="V33" s="107" t="inlineStr">
        <is>
          <t>NA</t>
        </is>
      </c>
      <c r="W33" s="42" t="n">
        <v>0.1013888888888889</v>
      </c>
      <c r="X33" s="13" t="inlineStr">
        <is>
          <t>PASS</t>
        </is>
      </c>
      <c r="Y33" s="13" t="inlineStr">
        <is>
          <t>PASS</t>
        </is>
      </c>
      <c r="Z33" s="13" t="inlineStr">
        <is>
          <t>PASS</t>
        </is>
      </c>
      <c r="AA33" s="13" t="inlineStr">
        <is>
          <t>PASS</t>
        </is>
      </c>
      <c r="AB33" s="13" t="inlineStr">
        <is>
          <t>PASS</t>
        </is>
      </c>
      <c r="AC33" s="13" t="inlineStr">
        <is>
          <t>PASS</t>
        </is>
      </c>
      <c r="AD33" s="13" t="inlineStr">
        <is>
          <t>PASS</t>
        </is>
      </c>
      <c r="AE33" s="13" t="inlineStr">
        <is>
          <t>PASS</t>
        </is>
      </c>
      <c r="AF33" s="13" t="inlineStr">
        <is>
          <t>PASS</t>
        </is>
      </c>
      <c r="AG33" s="107" t="n"/>
      <c r="AH33" s="29" t="n"/>
      <c r="AI33" s="107" t="n"/>
      <c r="AJ33" s="64" t="inlineStr">
        <is>
          <t>http://10.239.81.58/Xeon/NTA/PCIE/JNC2-dbgsh83/pxp1_12_x4x4x4x4_E1.S/LTSSM_Stress/</t>
        </is>
      </c>
      <c r="AK33" s="57" t="n"/>
    </row>
    <row r="34" ht="15" customHeight="1">
      <c r="A34" s="107" t="n">
        <v>33</v>
      </c>
      <c r="B34" s="107" t="inlineStr">
        <is>
          <t>2L1</t>
        </is>
      </c>
      <c r="C34" s="107" t="n">
        <v>0</v>
      </c>
      <c r="D34" s="107">
        <f>IF(C34=0,1,2)</f>
        <v/>
      </c>
      <c r="E34" s="107" t="inlineStr">
        <is>
          <t>Intel JNC2</t>
        </is>
      </c>
      <c r="F34" s="107" t="inlineStr">
        <is>
          <t>VAO254600036</t>
        </is>
      </c>
      <c r="G34" s="107" t="inlineStr">
        <is>
          <t>57729510C5D400E0</t>
        </is>
      </c>
      <c r="H34" s="107" t="inlineStr">
        <is>
          <t>ES1/Q9WJ</t>
        </is>
      </c>
      <c r="I34" s="39" t="inlineStr">
        <is>
          <t>M321R4GA3PB1-CCPPC
00CE012332050091C9</t>
        </is>
      </c>
      <c r="J34" s="107" t="inlineStr">
        <is>
          <t>32D91</t>
        </is>
      </c>
      <c r="K34" s="26" t="inlineStr">
        <is>
          <t>oks-2026.07.2-g43a8af-5fe4f9b</t>
        </is>
      </c>
      <c r="L34" s="107" t="n"/>
      <c r="M34" s="107" t="inlineStr">
        <is>
          <t>Gen5</t>
        </is>
      </c>
      <c r="N34" s="107" t="inlineStr">
        <is>
          <t>LTSSM</t>
        </is>
      </c>
      <c r="O34" s="107" t="inlineStr">
        <is>
          <t>x4x4x4x4</t>
        </is>
      </c>
      <c r="P34" s="107" t="inlineStr">
        <is>
          <t>E1.S</t>
        </is>
      </c>
      <c r="Q34" s="107" t="inlineStr">
        <is>
          <t>pxp1</t>
        </is>
      </c>
      <c r="R34" s="60" t="n">
        <v>2</v>
      </c>
      <c r="S34" s="105" t="n"/>
      <c r="T34" s="107" t="n">
        <v>1000</v>
      </c>
      <c r="U34" s="107" t="inlineStr">
        <is>
          <t>NA</t>
        </is>
      </c>
      <c r="V34" s="107" t="inlineStr">
        <is>
          <t>NA</t>
        </is>
      </c>
      <c r="W34" s="42" t="n">
        <v>0.1016203703703704</v>
      </c>
      <c r="X34" s="13" t="inlineStr">
        <is>
          <t>PASS</t>
        </is>
      </c>
      <c r="Y34" s="13" t="inlineStr">
        <is>
          <t>PASS</t>
        </is>
      </c>
      <c r="Z34" s="13" t="inlineStr">
        <is>
          <t>PASS</t>
        </is>
      </c>
      <c r="AA34" s="13" t="inlineStr">
        <is>
          <t>PASS</t>
        </is>
      </c>
      <c r="AB34" s="13" t="inlineStr">
        <is>
          <t>PASS</t>
        </is>
      </c>
      <c r="AC34" s="13" t="inlineStr">
        <is>
          <t>PASS</t>
        </is>
      </c>
      <c r="AD34" s="13" t="inlineStr">
        <is>
          <t>PASS</t>
        </is>
      </c>
      <c r="AE34" s="13" t="inlineStr">
        <is>
          <t>PASS</t>
        </is>
      </c>
      <c r="AF34" s="13" t="inlineStr">
        <is>
          <t>PASS</t>
        </is>
      </c>
      <c r="AG34" s="107" t="n"/>
      <c r="AH34" s="29" t="n"/>
      <c r="AI34" s="107" t="n"/>
      <c r="AJ34" s="64" t="inlineStr">
        <is>
          <t>http://10.239.81.58/Xeon/NTA/PCIE/JNC2-dbgsh83/pxp1_12_x4x4x4x4_E1.S/LTSSM_Stress/</t>
        </is>
      </c>
      <c r="AK34" s="57" t="n"/>
    </row>
    <row r="35" ht="15" customHeight="1">
      <c r="A35" s="107" t="n">
        <v>34</v>
      </c>
      <c r="B35" s="107" t="inlineStr">
        <is>
          <t>2L1</t>
        </is>
      </c>
      <c r="C35" s="107" t="n">
        <v>0</v>
      </c>
      <c r="D35" s="107">
        <f>IF(C35=0,1,2)</f>
        <v/>
      </c>
      <c r="E35" s="107" t="inlineStr">
        <is>
          <t>Intel JNC2</t>
        </is>
      </c>
      <c r="F35" s="107" t="inlineStr">
        <is>
          <t>VAO254600036</t>
        </is>
      </c>
      <c r="G35" s="107" t="inlineStr">
        <is>
          <t>57729510C5D400E0</t>
        </is>
      </c>
      <c r="H35" s="107" t="inlineStr">
        <is>
          <t>ES1/Q9WJ</t>
        </is>
      </c>
      <c r="I35" s="39" t="inlineStr">
        <is>
          <t>M321R4GA3PB1-CCPPC
00CE012332050091C9</t>
        </is>
      </c>
      <c r="J35" s="107" t="inlineStr">
        <is>
          <t>32D91</t>
        </is>
      </c>
      <c r="K35" s="26" t="inlineStr">
        <is>
          <t>oks-2026.07.2-g43a8af-5fe4f9b</t>
        </is>
      </c>
      <c r="L35" s="107" t="n"/>
      <c r="M35" s="107" t="inlineStr">
        <is>
          <t>Gen5</t>
        </is>
      </c>
      <c r="N35" s="107" t="inlineStr">
        <is>
          <t>LTSSM</t>
        </is>
      </c>
      <c r="O35" s="107" t="inlineStr">
        <is>
          <t>x4x4x4x4</t>
        </is>
      </c>
      <c r="P35" s="107" t="inlineStr">
        <is>
          <t>E1.S</t>
        </is>
      </c>
      <c r="Q35" s="107" t="inlineStr">
        <is>
          <t>pxp1</t>
        </is>
      </c>
      <c r="R35" s="60" t="n">
        <v>4</v>
      </c>
      <c r="S35" s="105" t="n"/>
      <c r="T35" s="107" t="n">
        <v>1000</v>
      </c>
      <c r="U35" s="107" t="inlineStr">
        <is>
          <t>NA</t>
        </is>
      </c>
      <c r="V35" s="107" t="inlineStr">
        <is>
          <t>NA</t>
        </is>
      </c>
      <c r="W35" s="42" t="n">
        <v>0.1028935185185185</v>
      </c>
      <c r="X35" s="13" t="inlineStr">
        <is>
          <t>PASS</t>
        </is>
      </c>
      <c r="Y35" s="13" t="inlineStr">
        <is>
          <t>PASS</t>
        </is>
      </c>
      <c r="Z35" s="13" t="inlineStr">
        <is>
          <t>PASS</t>
        </is>
      </c>
      <c r="AA35" s="13" t="inlineStr">
        <is>
          <t>PASS</t>
        </is>
      </c>
      <c r="AB35" s="13" t="inlineStr">
        <is>
          <t>PASS</t>
        </is>
      </c>
      <c r="AC35" s="13" t="inlineStr">
        <is>
          <t>PASS</t>
        </is>
      </c>
      <c r="AD35" s="13" t="inlineStr">
        <is>
          <t>PASS</t>
        </is>
      </c>
      <c r="AE35" s="13" t="inlineStr">
        <is>
          <t>PASS</t>
        </is>
      </c>
      <c r="AF35" s="13" t="inlineStr">
        <is>
          <t>PASS</t>
        </is>
      </c>
      <c r="AG35" s="107" t="n"/>
      <c r="AH35" s="29" t="n"/>
      <c r="AI35" s="107" t="n"/>
      <c r="AJ35" s="64" t="inlineStr">
        <is>
          <t>http://10.239.81.58/Xeon/NTA/PCIE/JNC2-dbgsh83/pxp1_12_x4x4x4x4_E1.S/LTSSM_Stress/</t>
        </is>
      </c>
      <c r="AK35" s="57" t="n"/>
    </row>
    <row r="36" ht="15" customHeight="1">
      <c r="A36" s="107" t="n">
        <v>35</v>
      </c>
      <c r="B36" s="107" t="inlineStr">
        <is>
          <t>2L1</t>
        </is>
      </c>
      <c r="C36" s="107" t="n">
        <v>0</v>
      </c>
      <c r="D36" s="107">
        <f>IF(C36=0,1,2)</f>
        <v/>
      </c>
      <c r="E36" s="107" t="inlineStr">
        <is>
          <t>Intel JNC2</t>
        </is>
      </c>
      <c r="F36" s="107" t="inlineStr">
        <is>
          <t>VAO254600036</t>
        </is>
      </c>
      <c r="G36" s="107" t="inlineStr">
        <is>
          <t>57729510C5D400E0</t>
        </is>
      </c>
      <c r="H36" s="107" t="inlineStr">
        <is>
          <t>ES1/Q9WJ</t>
        </is>
      </c>
      <c r="I36" s="39" t="inlineStr">
        <is>
          <t>M321R4GA3PB1-CCPPC
00CE012332050091C9</t>
        </is>
      </c>
      <c r="J36" s="107" t="inlineStr">
        <is>
          <t>32D91</t>
        </is>
      </c>
      <c r="K36" s="26" t="inlineStr">
        <is>
          <t>oks-2026.07.2-g43a8af-5fe4f9b</t>
        </is>
      </c>
      <c r="L36" s="107" t="n"/>
      <c r="M36" s="107" t="inlineStr">
        <is>
          <t>Gen5</t>
        </is>
      </c>
      <c r="N36" s="107" t="inlineStr">
        <is>
          <t>LTSSM</t>
        </is>
      </c>
      <c r="O36" s="107" t="inlineStr">
        <is>
          <t>x4x4x4x4</t>
        </is>
      </c>
      <c r="P36" s="107" t="inlineStr">
        <is>
          <t>E1.S</t>
        </is>
      </c>
      <c r="Q36" s="107" t="inlineStr">
        <is>
          <t>pxp1</t>
        </is>
      </c>
      <c r="R36" s="60" t="n">
        <v>6</v>
      </c>
      <c r="S36" s="105" t="n"/>
      <c r="T36" s="107" t="n">
        <v>1000</v>
      </c>
      <c r="U36" s="107" t="inlineStr">
        <is>
          <t>NA</t>
        </is>
      </c>
      <c r="V36" s="107" t="inlineStr">
        <is>
          <t>NA</t>
        </is>
      </c>
      <c r="W36" s="42" t="n">
        <v>0.1012268518518518</v>
      </c>
      <c r="X36" s="13" t="inlineStr">
        <is>
          <t>FAIL</t>
        </is>
      </c>
      <c r="Y36" s="13" t="inlineStr">
        <is>
          <t>PASS</t>
        </is>
      </c>
      <c r="Z36" s="13" t="inlineStr">
        <is>
          <t>FAIL</t>
        </is>
      </c>
      <c r="AA36" s="13" t="inlineStr">
        <is>
          <t>PASS</t>
        </is>
      </c>
      <c r="AB36" s="13" t="inlineStr">
        <is>
          <t>PASS</t>
        </is>
      </c>
      <c r="AC36" s="13" t="inlineStr">
        <is>
          <t>PASS</t>
        </is>
      </c>
      <c r="AD36" s="13" t="inlineStr">
        <is>
          <t>PASS</t>
        </is>
      </c>
      <c r="AE36" s="13" t="inlineStr">
        <is>
          <t>PASS</t>
        </is>
      </c>
      <c r="AF36" s="13" t="inlineStr">
        <is>
          <t>PASS</t>
        </is>
      </c>
      <c r="AG36" s="107" t="n"/>
      <c r="AH36" s="29" t="n"/>
      <c r="AI36" s="107" t="n"/>
      <c r="AJ36" s="64" t="inlineStr">
        <is>
          <t>http://10.239.81.58/Xeon/NTA/PCIE/JNC2-dbgsh83/pxp1_12_x4x4x4x4_E1.S/LTSSM_Stress/</t>
        </is>
      </c>
      <c r="AK36" s="57" t="n"/>
    </row>
    <row r="37" ht="15" customHeight="1">
      <c r="A37" s="107" t="n">
        <v>36</v>
      </c>
      <c r="B37" s="107" t="inlineStr">
        <is>
          <t>2L12</t>
        </is>
      </c>
      <c r="C37" s="107" t="n">
        <v>0</v>
      </c>
      <c r="D37" s="107">
        <f>IF(C37=0,1,2)</f>
        <v/>
      </c>
      <c r="E37" s="107" t="inlineStr">
        <is>
          <t>Intel JNC2</t>
        </is>
      </c>
      <c r="F37" s="107" t="inlineStr">
        <is>
          <t>VAO254600036</t>
        </is>
      </c>
      <c r="G37" s="107" t="inlineStr">
        <is>
          <t>57729510C5D400E0</t>
        </is>
      </c>
      <c r="H37" s="107" t="inlineStr">
        <is>
          <t>ES1/Q9WJ</t>
        </is>
      </c>
      <c r="I37" s="39" t="inlineStr">
        <is>
          <t>M321R4GA3PB1-CCPPC
00CE012332050091C9</t>
        </is>
      </c>
      <c r="J37" s="107" t="inlineStr">
        <is>
          <t>32D91</t>
        </is>
      </c>
      <c r="K37" s="26" t="inlineStr">
        <is>
          <t>oks-2026.07.2-g43a8af-5fe4f9b</t>
        </is>
      </c>
      <c r="L37" s="107" t="n"/>
      <c r="M37" s="107" t="inlineStr">
        <is>
          <t>Gen5</t>
        </is>
      </c>
      <c r="N37" s="107" t="inlineStr">
        <is>
          <t>LTSSM</t>
        </is>
      </c>
      <c r="O37" s="107" t="inlineStr">
        <is>
          <t>x4x4x4x4</t>
        </is>
      </c>
      <c r="P37" s="107" t="inlineStr">
        <is>
          <t>E1.S</t>
        </is>
      </c>
      <c r="Q37" s="107" t="inlineStr">
        <is>
          <t>pxp12</t>
        </is>
      </c>
      <c r="R37" s="60" t="n">
        <v>0</v>
      </c>
      <c r="S37" s="107" t="n"/>
      <c r="T37" s="107" t="n">
        <v>1000</v>
      </c>
      <c r="U37" s="107" t="inlineStr">
        <is>
          <t>NA</t>
        </is>
      </c>
      <c r="V37" s="107" t="inlineStr">
        <is>
          <t>NA</t>
        </is>
      </c>
      <c r="W37" s="42" t="n">
        <v>0.1336111111111111</v>
      </c>
      <c r="X37" s="13" t="inlineStr">
        <is>
          <t>PASS</t>
        </is>
      </c>
      <c r="Y37" s="13" t="inlineStr">
        <is>
          <t>PASS</t>
        </is>
      </c>
      <c r="Z37" s="13" t="inlineStr">
        <is>
          <t>PASS</t>
        </is>
      </c>
      <c r="AA37" s="13" t="inlineStr">
        <is>
          <t>PASS</t>
        </is>
      </c>
      <c r="AB37" s="13" t="inlineStr">
        <is>
          <t>PASS</t>
        </is>
      </c>
      <c r="AC37" s="13" t="inlineStr">
        <is>
          <t>PASS</t>
        </is>
      </c>
      <c r="AD37" s="13" t="inlineStr">
        <is>
          <t>PASS</t>
        </is>
      </c>
      <c r="AE37" s="13" t="inlineStr">
        <is>
          <t>PASS</t>
        </is>
      </c>
      <c r="AF37" s="13" t="inlineStr">
        <is>
          <t>PASS</t>
        </is>
      </c>
      <c r="AG37" s="107" t="n"/>
      <c r="AH37" s="29" t="n"/>
      <c r="AI37" s="107" t="n"/>
      <c r="AJ37" s="64" t="inlineStr">
        <is>
          <t>http://10.239.81.58/Xeon/NTA/PCIE/JNC2-dbgsh83/pxp1_12_x4x4x4x4_E1.S/LTSSM_Stress/</t>
        </is>
      </c>
      <c r="AK37" s="26" t="n"/>
    </row>
    <row r="38" ht="15" customHeight="1">
      <c r="A38" s="107" t="n">
        <v>37</v>
      </c>
      <c r="B38" s="107" t="inlineStr">
        <is>
          <t>2L12</t>
        </is>
      </c>
      <c r="C38" s="107" t="n">
        <v>0</v>
      </c>
      <c r="D38" s="107">
        <f>IF(C38=0,1,2)</f>
        <v/>
      </c>
      <c r="E38" s="107" t="inlineStr">
        <is>
          <t>Intel JNC2</t>
        </is>
      </c>
      <c r="F38" s="107" t="inlineStr">
        <is>
          <t>VAO254600036</t>
        </is>
      </c>
      <c r="G38" s="107" t="inlineStr">
        <is>
          <t>57729510C5D400E0</t>
        </is>
      </c>
      <c r="H38" s="107" t="inlineStr">
        <is>
          <t>ES1/Q9WJ</t>
        </is>
      </c>
      <c r="I38" s="39" t="inlineStr">
        <is>
          <t>M321R4GA3PB1-CCPPC
00CE012332050091C9</t>
        </is>
      </c>
      <c r="J38" s="107" t="inlineStr">
        <is>
          <t>32D91</t>
        </is>
      </c>
      <c r="K38" s="26" t="inlineStr">
        <is>
          <t>oks-2026.07.2-g43a8af-5fe4f9b</t>
        </is>
      </c>
      <c r="L38" s="107" t="n"/>
      <c r="M38" s="107" t="inlineStr">
        <is>
          <t>Gen5</t>
        </is>
      </c>
      <c r="N38" s="107" t="inlineStr">
        <is>
          <t>LTSSM</t>
        </is>
      </c>
      <c r="O38" s="107" t="inlineStr">
        <is>
          <t>x4x4x4x4</t>
        </is>
      </c>
      <c r="P38" s="107" t="inlineStr">
        <is>
          <t>E1.S</t>
        </is>
      </c>
      <c r="Q38" s="107" t="inlineStr">
        <is>
          <t>pxp12</t>
        </is>
      </c>
      <c r="R38" s="60" t="n">
        <v>2</v>
      </c>
      <c r="S38" s="107" t="n"/>
      <c r="T38" s="107" t="n">
        <v>1000</v>
      </c>
      <c r="U38" s="107" t="inlineStr">
        <is>
          <t>NA</t>
        </is>
      </c>
      <c r="V38" s="107" t="inlineStr">
        <is>
          <t>NA</t>
        </is>
      </c>
      <c r="W38" s="42" t="n">
        <v>0.1324537037037037</v>
      </c>
      <c r="X38" s="13" t="inlineStr">
        <is>
          <t>PASS</t>
        </is>
      </c>
      <c r="Y38" s="13" t="inlineStr">
        <is>
          <t>PASS</t>
        </is>
      </c>
      <c r="Z38" s="13" t="inlineStr">
        <is>
          <t>FAIL</t>
        </is>
      </c>
      <c r="AA38" s="13" t="inlineStr">
        <is>
          <t>PASS</t>
        </is>
      </c>
      <c r="AB38" s="13" t="inlineStr">
        <is>
          <t>PASS</t>
        </is>
      </c>
      <c r="AC38" s="13" t="inlineStr">
        <is>
          <t>PASS</t>
        </is>
      </c>
      <c r="AD38" s="13" t="inlineStr">
        <is>
          <t>PASS</t>
        </is>
      </c>
      <c r="AE38" s="13" t="inlineStr">
        <is>
          <t>PASS</t>
        </is>
      </c>
      <c r="AF38" s="13" t="inlineStr">
        <is>
          <t>PASS</t>
        </is>
      </c>
      <c r="AG38" s="107" t="n"/>
      <c r="AH38" s="29" t="n"/>
      <c r="AI38" s="107" t="n"/>
      <c r="AJ38" s="64" t="inlineStr">
        <is>
          <t>http://10.239.81.58/Xeon/NTA/PCIE/JNC2-dbgsh83/pxp1_12_x4x4x4x4_E1.S/LTSSM_Stress/</t>
        </is>
      </c>
      <c r="AK38" s="26" t="n"/>
    </row>
    <row r="39" ht="15" customHeight="1">
      <c r="A39" s="107" t="n">
        <v>38</v>
      </c>
      <c r="B39" s="107" t="inlineStr">
        <is>
          <t>2L12</t>
        </is>
      </c>
      <c r="C39" s="107" t="n">
        <v>0</v>
      </c>
      <c r="D39" s="107">
        <f>IF(C39=0,1,2)</f>
        <v/>
      </c>
      <c r="E39" s="107" t="inlineStr">
        <is>
          <t>Intel JNC2</t>
        </is>
      </c>
      <c r="F39" s="107" t="inlineStr">
        <is>
          <t>VAO254600036</t>
        </is>
      </c>
      <c r="G39" s="107" t="inlineStr">
        <is>
          <t>57729510C5D400E0</t>
        </is>
      </c>
      <c r="H39" s="107" t="inlineStr">
        <is>
          <t>ES1/Q9WJ</t>
        </is>
      </c>
      <c r="I39" s="39" t="inlineStr">
        <is>
          <t>M321R4GA3PB1-CCPPC
00CE012332050091C9</t>
        </is>
      </c>
      <c r="J39" s="107" t="inlineStr">
        <is>
          <t>32D91</t>
        </is>
      </c>
      <c r="K39" s="26" t="inlineStr">
        <is>
          <t>oks-2026.07.2-g43a8af-5fe4f9b</t>
        </is>
      </c>
      <c r="L39" s="107" t="n"/>
      <c r="M39" s="107" t="inlineStr">
        <is>
          <t>Gen5</t>
        </is>
      </c>
      <c r="N39" s="107" t="inlineStr">
        <is>
          <t>LTSSM</t>
        </is>
      </c>
      <c r="O39" s="107" t="inlineStr">
        <is>
          <t>x4x4x4x4</t>
        </is>
      </c>
      <c r="P39" s="107" t="inlineStr">
        <is>
          <t>E1.S</t>
        </is>
      </c>
      <c r="Q39" s="107" t="inlineStr">
        <is>
          <t>pxp12</t>
        </is>
      </c>
      <c r="R39" s="60" t="n">
        <v>4</v>
      </c>
      <c r="S39" s="107" t="n"/>
      <c r="T39" s="107" t="n">
        <v>1000</v>
      </c>
      <c r="U39" s="107" t="inlineStr">
        <is>
          <t>NA</t>
        </is>
      </c>
      <c r="V39" s="107" t="inlineStr">
        <is>
          <t>NA</t>
        </is>
      </c>
      <c r="W39" s="42" t="n">
        <v>0.1327083333333333</v>
      </c>
      <c r="X39" s="13" t="inlineStr">
        <is>
          <t>PASS</t>
        </is>
      </c>
      <c r="Y39" s="13" t="inlineStr">
        <is>
          <t>PASS</t>
        </is>
      </c>
      <c r="Z39" s="13" t="inlineStr">
        <is>
          <t>PASS</t>
        </is>
      </c>
      <c r="AA39" s="13" t="inlineStr">
        <is>
          <t>PASS</t>
        </is>
      </c>
      <c r="AB39" s="13" t="inlineStr">
        <is>
          <t>PASS</t>
        </is>
      </c>
      <c r="AC39" s="13" t="inlineStr">
        <is>
          <t>PASS</t>
        </is>
      </c>
      <c r="AD39" s="13" t="inlineStr">
        <is>
          <t>PASS</t>
        </is>
      </c>
      <c r="AE39" s="13" t="inlineStr">
        <is>
          <t>PASS</t>
        </is>
      </c>
      <c r="AF39" s="13" t="inlineStr">
        <is>
          <t>PASS</t>
        </is>
      </c>
      <c r="AG39" s="107" t="n"/>
      <c r="AH39" s="29" t="n"/>
      <c r="AI39" s="107" t="n"/>
      <c r="AJ39" s="64" t="inlineStr">
        <is>
          <t>http://10.239.81.58/Xeon/NTA/PCIE/JNC2-dbgsh83/pxp1_12_x4x4x4x4_E1.S/LTSSM_Stress/</t>
        </is>
      </c>
      <c r="AK39" s="26" t="n"/>
    </row>
    <row r="40" ht="15" customHeight="1">
      <c r="A40" s="107" t="n">
        <v>39</v>
      </c>
      <c r="B40" s="107" t="inlineStr">
        <is>
          <t>2L12</t>
        </is>
      </c>
      <c r="C40" s="107" t="n">
        <v>0</v>
      </c>
      <c r="D40" s="107">
        <f>IF(C40=0,1,2)</f>
        <v/>
      </c>
      <c r="E40" s="107" t="inlineStr">
        <is>
          <t>Intel JNC2</t>
        </is>
      </c>
      <c r="F40" s="107" t="inlineStr">
        <is>
          <t>VAO254600036</t>
        </is>
      </c>
      <c r="G40" s="107" t="inlineStr">
        <is>
          <t>57729510C5D400E0</t>
        </is>
      </c>
      <c r="H40" s="107" t="inlineStr">
        <is>
          <t>ES1/Q9WJ</t>
        </is>
      </c>
      <c r="I40" s="39" t="inlineStr">
        <is>
          <t>M321R4GA3PB1-CCPPC
00CE012332050091C9</t>
        </is>
      </c>
      <c r="J40" s="107" t="inlineStr">
        <is>
          <t>32D91</t>
        </is>
      </c>
      <c r="K40" s="26" t="inlineStr">
        <is>
          <t>oks-2026.07.2-g43a8af-5fe4f9b</t>
        </is>
      </c>
      <c r="L40" s="107" t="n"/>
      <c r="M40" s="107" t="inlineStr">
        <is>
          <t>Gen5</t>
        </is>
      </c>
      <c r="N40" s="107" t="inlineStr">
        <is>
          <t>LTSSM</t>
        </is>
      </c>
      <c r="O40" s="107" t="inlineStr">
        <is>
          <t>x4x4x4x4</t>
        </is>
      </c>
      <c r="P40" s="107" t="inlineStr">
        <is>
          <t>E1.S</t>
        </is>
      </c>
      <c r="Q40" s="107" t="inlineStr">
        <is>
          <t>pxp12</t>
        </is>
      </c>
      <c r="R40" s="60" t="n">
        <v>6</v>
      </c>
      <c r="S40" s="107" t="n"/>
      <c r="T40" s="107" t="n">
        <v>1000</v>
      </c>
      <c r="U40" s="107" t="inlineStr">
        <is>
          <t>NA</t>
        </is>
      </c>
      <c r="V40" s="107" t="inlineStr">
        <is>
          <t>NA</t>
        </is>
      </c>
      <c r="W40" s="42" t="n">
        <v>0.1331828703703704</v>
      </c>
      <c r="X40" s="13" t="inlineStr">
        <is>
          <t>PASS</t>
        </is>
      </c>
      <c r="Y40" s="13" t="inlineStr">
        <is>
          <t>PASS</t>
        </is>
      </c>
      <c r="Z40" s="13" t="inlineStr">
        <is>
          <t>PASS</t>
        </is>
      </c>
      <c r="AA40" s="13" t="inlineStr">
        <is>
          <t>PASS</t>
        </is>
      </c>
      <c r="AB40" s="13" t="inlineStr">
        <is>
          <t>PASS</t>
        </is>
      </c>
      <c r="AC40" s="13" t="inlineStr">
        <is>
          <t>PASS</t>
        </is>
      </c>
      <c r="AD40" s="13" t="inlineStr">
        <is>
          <t>PASS</t>
        </is>
      </c>
      <c r="AE40" s="13" t="inlineStr">
        <is>
          <t>PASS</t>
        </is>
      </c>
      <c r="AF40" s="13" t="inlineStr">
        <is>
          <t>PASS</t>
        </is>
      </c>
      <c r="AG40" s="107" t="n"/>
      <c r="AH40" s="29" t="n"/>
      <c r="AI40" s="107" t="n"/>
      <c r="AJ40" s="64" t="inlineStr">
        <is>
          <t>http://10.239.81.58/Xeon/NTA/PCIE/JNC2-dbgsh83/pxp1_12_x4x4x4x4_E1.S/LTSSM_Stress/</t>
        </is>
      </c>
      <c r="AK40" s="26" t="n"/>
    </row>
    <row r="41" hidden="1" ht="15" customHeight="1">
      <c r="A41" s="107" t="n">
        <v>40</v>
      </c>
      <c r="B41" s="107" t="inlineStr">
        <is>
          <t>2S1</t>
        </is>
      </c>
      <c r="C41" s="107" t="n">
        <v>0</v>
      </c>
      <c r="D41" s="107">
        <f>IF(C41=0,1,2)</f>
        <v/>
      </c>
      <c r="E41" s="107" t="inlineStr">
        <is>
          <t>Intel JNC2</t>
        </is>
      </c>
      <c r="F41" s="107" t="inlineStr">
        <is>
          <t>VAO254600036</t>
        </is>
      </c>
      <c r="G41" s="107" t="inlineStr">
        <is>
          <t>57729510C5D400E0</t>
        </is>
      </c>
      <c r="H41" s="107" t="inlineStr">
        <is>
          <t>ES1/Q9WJ</t>
        </is>
      </c>
      <c r="I41" s="39" t="inlineStr">
        <is>
          <t>M321R4GA3PB1-CCPPC
00CE012332050091C9</t>
        </is>
      </c>
      <c r="J41" s="107" t="inlineStr">
        <is>
          <t>32D91</t>
        </is>
      </c>
      <c r="K41" s="26" t="inlineStr">
        <is>
          <t>oks-2026.07.2-g43a8af-5fe4f9b</t>
        </is>
      </c>
      <c r="L41" s="107" t="n"/>
      <c r="M41" s="107" t="inlineStr">
        <is>
          <t>Gen5</t>
        </is>
      </c>
      <c r="N41" s="107" t="inlineStr">
        <is>
          <t>SMV_Margin</t>
        </is>
      </c>
      <c r="O41" s="107" t="inlineStr">
        <is>
          <t>x16</t>
        </is>
      </c>
      <c r="P41" s="107" t="inlineStr">
        <is>
          <t>CX8</t>
        </is>
      </c>
      <c r="Q41" s="107" t="inlineStr">
        <is>
          <t>pxp1</t>
        </is>
      </c>
      <c r="R41" s="63" t="n"/>
      <c r="S41" s="105" t="n"/>
      <c r="T41" s="107" t="n">
        <v>3</v>
      </c>
      <c r="U41" s="107" t="n">
        <v>2</v>
      </c>
      <c r="V41" s="107" t="n">
        <v>3</v>
      </c>
      <c r="W41" s="42" t="n">
        <v>0.06738425925925925</v>
      </c>
      <c r="X41" s="13" t="inlineStr">
        <is>
          <t>PASS</t>
        </is>
      </c>
      <c r="Y41" s="13" t="inlineStr">
        <is>
          <t>NA</t>
        </is>
      </c>
      <c r="Z41" s="13" t="inlineStr">
        <is>
          <t>NA</t>
        </is>
      </c>
      <c r="AA41" s="13" t="inlineStr">
        <is>
          <t>NA</t>
        </is>
      </c>
      <c r="AB41" s="13" t="inlineStr">
        <is>
          <t>NA</t>
        </is>
      </c>
      <c r="AC41" s="13" t="inlineStr">
        <is>
          <t>NA</t>
        </is>
      </c>
      <c r="AD41" s="13" t="inlineStr">
        <is>
          <t>NA</t>
        </is>
      </c>
      <c r="AE41" s="13" t="inlineStr">
        <is>
          <t>NA</t>
        </is>
      </c>
      <c r="AF41" s="13" t="inlineStr">
        <is>
          <t>NA</t>
        </is>
      </c>
      <c r="AG41" s="107" t="n">
        <v>0</v>
      </c>
      <c r="AH41" s="29" t="n">
        <v>0</v>
      </c>
      <c r="AI41" s="107" t="n"/>
      <c r="AJ41" s="64" t="inlineStr">
        <is>
          <t>http://10.239.81.58/Xeon/NTA/PCIE/JNC2-dbgsh83/pxp1/SMV_Margin_Test/</t>
        </is>
      </c>
      <c r="AK41" s="57" t="inlineStr">
        <is>
          <t>pxp1.port0 has detected correctable errors; Errors detected at offset = xxx</t>
        </is>
      </c>
    </row>
    <row r="42" hidden="1" ht="15" customHeight="1">
      <c r="A42" s="107" t="n">
        <v>41</v>
      </c>
      <c r="B42" s="107" t="inlineStr">
        <is>
          <t>2S3</t>
        </is>
      </c>
      <c r="C42" s="107" t="n">
        <v>0</v>
      </c>
      <c r="D42" s="107">
        <f>IF(C42=0,1,2)</f>
        <v/>
      </c>
      <c r="E42" s="107" t="inlineStr">
        <is>
          <t>Intel JNC2</t>
        </is>
      </c>
      <c r="F42" s="107" t="inlineStr">
        <is>
          <t>VAO254600036</t>
        </is>
      </c>
      <c r="G42" s="107" t="inlineStr">
        <is>
          <t>57729510C5D400E0</t>
        </is>
      </c>
      <c r="H42" s="107" t="inlineStr">
        <is>
          <t>ES1/Q9WJ</t>
        </is>
      </c>
      <c r="I42" s="39" t="inlineStr">
        <is>
          <t>M321R4GA3PB1-CCPPC
00CE012332050091C9</t>
        </is>
      </c>
      <c r="J42" s="107" t="inlineStr">
        <is>
          <t>32D91</t>
        </is>
      </c>
      <c r="K42" s="26" t="inlineStr">
        <is>
          <t>oks-2026.07.2-g43a8af-5fe4f9b</t>
        </is>
      </c>
      <c r="L42" s="107" t="n"/>
      <c r="M42" s="107" t="inlineStr">
        <is>
          <t>Gen5</t>
        </is>
      </c>
      <c r="N42" s="107" t="inlineStr">
        <is>
          <t>SMV_Margin</t>
        </is>
      </c>
      <c r="O42" s="107" t="inlineStr">
        <is>
          <t>x16</t>
        </is>
      </c>
      <c r="P42" s="107" t="inlineStr">
        <is>
          <t>CX8</t>
        </is>
      </c>
      <c r="Q42" s="107" t="inlineStr">
        <is>
          <t>pxp3</t>
        </is>
      </c>
      <c r="R42" s="63" t="n"/>
      <c r="S42" s="105" t="n"/>
      <c r="T42" s="107" t="n">
        <v>3</v>
      </c>
      <c r="U42" s="107" t="n">
        <v>2</v>
      </c>
      <c r="V42" s="107" t="n">
        <v>3</v>
      </c>
      <c r="W42" s="42" t="n">
        <v>0.06561342592592592</v>
      </c>
      <c r="X42" s="13" t="inlineStr">
        <is>
          <t>PASS</t>
        </is>
      </c>
      <c r="Y42" s="13" t="inlineStr">
        <is>
          <t>NA</t>
        </is>
      </c>
      <c r="Z42" s="13" t="inlineStr">
        <is>
          <t>NA</t>
        </is>
      </c>
      <c r="AA42" s="13" t="inlineStr">
        <is>
          <t>NA</t>
        </is>
      </c>
      <c r="AB42" s="13" t="inlineStr">
        <is>
          <t>NA</t>
        </is>
      </c>
      <c r="AC42" s="13" t="inlineStr">
        <is>
          <t>NA</t>
        </is>
      </c>
      <c r="AD42" s="13" t="inlineStr">
        <is>
          <t>NA</t>
        </is>
      </c>
      <c r="AE42" s="13" t="inlineStr">
        <is>
          <t>NA</t>
        </is>
      </c>
      <c r="AF42" s="13" t="inlineStr">
        <is>
          <t>NA</t>
        </is>
      </c>
      <c r="AG42" s="107" t="n">
        <v>0</v>
      </c>
      <c r="AH42" s="29" t="n">
        <v>0</v>
      </c>
      <c r="AI42" s="107" t="n"/>
      <c r="AJ42" s="64" t="inlineStr">
        <is>
          <t>http://10.239.81.58/Xeon/NTA/PCIE/JNC2-dbgsh83/pxp3/SMV_Margin_Test/</t>
        </is>
      </c>
      <c r="AK42" s="58" t="inlineStr">
        <is>
          <t>pxp3.port0 has detected uncorrectable errors; Errors detected at offset = xxx</t>
        </is>
      </c>
    </row>
    <row r="43" hidden="1" ht="15" customFormat="1" customHeight="1" s="14">
      <c r="A43" s="107" t="n">
        <v>42</v>
      </c>
      <c r="B43" s="107" t="inlineStr">
        <is>
          <t>2S4</t>
        </is>
      </c>
      <c r="C43" s="107" t="n">
        <v>0</v>
      </c>
      <c r="D43" s="107">
        <f>IF(C43=0,1,2)</f>
        <v/>
      </c>
      <c r="E43" s="107" t="inlineStr">
        <is>
          <t>Intel JNC2</t>
        </is>
      </c>
      <c r="F43" s="107" t="inlineStr">
        <is>
          <t>VAO254600036</t>
        </is>
      </c>
      <c r="G43" s="107" t="inlineStr">
        <is>
          <t>57729510C5D400E0</t>
        </is>
      </c>
      <c r="H43" s="107" t="inlineStr">
        <is>
          <t>ES1/Q9WJ</t>
        </is>
      </c>
      <c r="I43" s="39" t="inlineStr">
        <is>
          <t>M321R4GA3PB1-CCPPC
00CE012332050091C9</t>
        </is>
      </c>
      <c r="J43" s="107" t="inlineStr">
        <is>
          <t>32D91</t>
        </is>
      </c>
      <c r="K43" s="26" t="inlineStr">
        <is>
          <t>oks-2026.07.2-g43a8af-5fe4f9b</t>
        </is>
      </c>
      <c r="L43" s="107" t="n"/>
      <c r="M43" s="107" t="inlineStr">
        <is>
          <t>Gen5</t>
        </is>
      </c>
      <c r="N43" s="107" t="inlineStr">
        <is>
          <t>SMV_Margin</t>
        </is>
      </c>
      <c r="O43" s="107" t="inlineStr">
        <is>
          <t>x16</t>
        </is>
      </c>
      <c r="P43" s="107" t="inlineStr">
        <is>
          <t>CX8</t>
        </is>
      </c>
      <c r="Q43" s="107" t="inlineStr">
        <is>
          <t>pxp4</t>
        </is>
      </c>
      <c r="R43" s="63" t="n"/>
      <c r="S43" s="105" t="n"/>
      <c r="T43" s="107" t="n">
        <v>3</v>
      </c>
      <c r="U43" s="107" t="n">
        <v>2</v>
      </c>
      <c r="V43" s="107" t="n">
        <v>3</v>
      </c>
      <c r="W43" s="42" t="n">
        <v>0.0665625</v>
      </c>
      <c r="X43" s="13" t="inlineStr">
        <is>
          <t>PASS</t>
        </is>
      </c>
      <c r="Y43" s="13" t="inlineStr">
        <is>
          <t>NA</t>
        </is>
      </c>
      <c r="Z43" s="13" t="inlineStr">
        <is>
          <t>NA</t>
        </is>
      </c>
      <c r="AA43" s="13" t="inlineStr">
        <is>
          <t>NA</t>
        </is>
      </c>
      <c r="AB43" s="13" t="inlineStr">
        <is>
          <t>NA</t>
        </is>
      </c>
      <c r="AC43" s="13" t="inlineStr">
        <is>
          <t>NA</t>
        </is>
      </c>
      <c r="AD43" s="13" t="inlineStr">
        <is>
          <t>NA</t>
        </is>
      </c>
      <c r="AE43" s="13" t="inlineStr">
        <is>
          <t>NA</t>
        </is>
      </c>
      <c r="AF43" s="13" t="inlineStr">
        <is>
          <t>NA</t>
        </is>
      </c>
      <c r="AG43" s="107" t="n">
        <v>0</v>
      </c>
      <c r="AH43" s="29" t="n">
        <v>0</v>
      </c>
      <c r="AI43" s="107" t="n"/>
      <c r="AJ43" s="64" t="inlineStr">
        <is>
          <t>http://10.239.81.58/Xeon/NTA/PCIE/JNC2-dbgsh83/pxp4/SMV_Margin_Test/</t>
        </is>
      </c>
      <c r="AK43" s="26" t="inlineStr">
        <is>
          <t>Errors detected at offset = xxx</t>
        </is>
      </c>
    </row>
    <row r="44" hidden="1" ht="15" customHeight="1">
      <c r="A44" s="107" t="n">
        <v>43</v>
      </c>
      <c r="B44" s="107" t="inlineStr">
        <is>
          <t>2S9</t>
        </is>
      </c>
      <c r="C44" s="107" t="n">
        <v>0</v>
      </c>
      <c r="D44" s="107">
        <f>IF(C44=0,1,2)</f>
        <v/>
      </c>
      <c r="E44" s="107" t="inlineStr">
        <is>
          <t>Intel JNC2</t>
        </is>
      </c>
      <c r="F44" s="107" t="inlineStr">
        <is>
          <t>VAO254600036</t>
        </is>
      </c>
      <c r="G44" s="107" t="inlineStr">
        <is>
          <t>57729510C5D400E0</t>
        </is>
      </c>
      <c r="H44" s="107" t="inlineStr">
        <is>
          <t>ES1/Q9WJ</t>
        </is>
      </c>
      <c r="I44" s="39" t="inlineStr">
        <is>
          <t>M321R4GA3PB1-CCPPC
00CE012332050091C9</t>
        </is>
      </c>
      <c r="J44" s="107" t="inlineStr">
        <is>
          <t>32D91</t>
        </is>
      </c>
      <c r="K44" s="26" t="inlineStr">
        <is>
          <t>oks-2026.07.2-g43a8af-5fe4f9b</t>
        </is>
      </c>
      <c r="L44" s="107" t="n"/>
      <c r="M44" s="107" t="inlineStr">
        <is>
          <t>Gen5</t>
        </is>
      </c>
      <c r="N44" s="107" t="inlineStr">
        <is>
          <t>SMV_Margin</t>
        </is>
      </c>
      <c r="O44" s="107" t="inlineStr">
        <is>
          <t>x16</t>
        </is>
      </c>
      <c r="P44" s="107" t="inlineStr">
        <is>
          <t>CX8</t>
        </is>
      </c>
      <c r="Q44" s="107" t="inlineStr">
        <is>
          <t>pxp9</t>
        </is>
      </c>
      <c r="R44" s="63" t="n"/>
      <c r="S44" s="107" t="n"/>
      <c r="T44" s="107" t="n">
        <v>3</v>
      </c>
      <c r="U44" s="107" t="n">
        <v>2</v>
      </c>
      <c r="V44" s="107" t="n">
        <v>3</v>
      </c>
      <c r="W44" s="42" t="n">
        <v>0.06601851851851852</v>
      </c>
      <c r="X44" s="13" t="inlineStr">
        <is>
          <t>PASS</t>
        </is>
      </c>
      <c r="Y44" s="13" t="inlineStr">
        <is>
          <t>NA</t>
        </is>
      </c>
      <c r="Z44" s="13" t="inlineStr">
        <is>
          <t>NA</t>
        </is>
      </c>
      <c r="AA44" s="13" t="inlineStr">
        <is>
          <t>NA</t>
        </is>
      </c>
      <c r="AB44" s="13" t="inlineStr">
        <is>
          <t>NA</t>
        </is>
      </c>
      <c r="AC44" s="13" t="inlineStr">
        <is>
          <t>NA</t>
        </is>
      </c>
      <c r="AD44" s="13" t="inlineStr">
        <is>
          <t>NA</t>
        </is>
      </c>
      <c r="AE44" s="13" t="inlineStr">
        <is>
          <t>NA</t>
        </is>
      </c>
      <c r="AF44" s="13" t="inlineStr">
        <is>
          <t>NA</t>
        </is>
      </c>
      <c r="AG44" s="107" t="n">
        <v>0</v>
      </c>
      <c r="AH44" s="29" t="n">
        <v>0</v>
      </c>
      <c r="AI44" s="107" t="n"/>
      <c r="AJ44" s="64" t="inlineStr">
        <is>
          <t>http://10.239.81.58/Xeon/NTA/PCIE/JNC2-dbgsh83/pxp9/SMV_Margin_Test/</t>
        </is>
      </c>
      <c r="AK44" s="26" t="inlineStr">
        <is>
          <t>pxp9.port0 has detected correctable errors;Errors detected at offset = xxx</t>
        </is>
      </c>
    </row>
    <row r="45" hidden="1" ht="15" customFormat="1" customHeight="1" s="14">
      <c r="A45" s="107" t="n">
        <v>44</v>
      </c>
      <c r="B45" s="107" t="inlineStr">
        <is>
          <t>2S11</t>
        </is>
      </c>
      <c r="C45" s="107" t="n">
        <v>0</v>
      </c>
      <c r="D45" s="107">
        <f>IF(C45=0,1,2)</f>
        <v/>
      </c>
      <c r="E45" s="107" t="inlineStr">
        <is>
          <t>Intel JNC2</t>
        </is>
      </c>
      <c r="F45" s="107" t="inlineStr">
        <is>
          <t>VAO254600036</t>
        </is>
      </c>
      <c r="G45" s="107" t="inlineStr">
        <is>
          <t>57729510C5D400E0</t>
        </is>
      </c>
      <c r="H45" s="107" t="inlineStr">
        <is>
          <t>ES1/Q9WJ</t>
        </is>
      </c>
      <c r="I45" s="39" t="inlineStr">
        <is>
          <t>M321R4GA3PB1-CCPPC
00CE012332050091C9</t>
        </is>
      </c>
      <c r="J45" s="107" t="inlineStr">
        <is>
          <t>32D91</t>
        </is>
      </c>
      <c r="K45" s="26" t="inlineStr">
        <is>
          <t>oks-2026.07.2-g43a8af-5fe4f9b</t>
        </is>
      </c>
      <c r="L45" s="107" t="n"/>
      <c r="M45" s="107" t="inlineStr">
        <is>
          <t>Gen5</t>
        </is>
      </c>
      <c r="N45" s="107" t="inlineStr">
        <is>
          <t>SMV_Margin</t>
        </is>
      </c>
      <c r="O45" s="107" t="inlineStr">
        <is>
          <t>x16</t>
        </is>
      </c>
      <c r="P45" s="107" t="inlineStr">
        <is>
          <t>CX8</t>
        </is>
      </c>
      <c r="Q45" s="107" t="inlineStr">
        <is>
          <t>pxp11</t>
        </is>
      </c>
      <c r="R45" s="63" t="n"/>
      <c r="S45" s="107" t="n"/>
      <c r="T45" s="107" t="n">
        <v>3</v>
      </c>
      <c r="U45" s="107" t="n">
        <v>2</v>
      </c>
      <c r="V45" s="107" t="n">
        <v>3</v>
      </c>
      <c r="W45" s="42" t="n">
        <v>0.06557870370370371</v>
      </c>
      <c r="X45" s="13" t="inlineStr">
        <is>
          <t>PASS</t>
        </is>
      </c>
      <c r="Y45" s="13" t="inlineStr">
        <is>
          <t>NA</t>
        </is>
      </c>
      <c r="Z45" s="13" t="inlineStr">
        <is>
          <t>NA</t>
        </is>
      </c>
      <c r="AA45" s="13" t="inlineStr">
        <is>
          <t>NA</t>
        </is>
      </c>
      <c r="AB45" s="13" t="inlineStr">
        <is>
          <t>NA</t>
        </is>
      </c>
      <c r="AC45" s="13" t="inlineStr">
        <is>
          <t>NA</t>
        </is>
      </c>
      <c r="AD45" s="13" t="inlineStr">
        <is>
          <t>NA</t>
        </is>
      </c>
      <c r="AE45" s="13" t="inlineStr">
        <is>
          <t>NA</t>
        </is>
      </c>
      <c r="AF45" s="13" t="inlineStr">
        <is>
          <t>NA</t>
        </is>
      </c>
      <c r="AG45" s="107" t="n">
        <v>0</v>
      </c>
      <c r="AH45" s="29" t="n">
        <v>0</v>
      </c>
      <c r="AI45" s="107" t="n"/>
      <c r="AJ45" s="64" t="inlineStr">
        <is>
          <t>http://10.239.81.58/Xeon/NTA/PCIE/JNC2-dbgsh83/pxp11/SMV_Margin_Test/</t>
        </is>
      </c>
      <c r="AK45" s="26" t="inlineStr">
        <is>
          <t>Errors detected at offset = xxx</t>
        </is>
      </c>
    </row>
    <row r="46" ht="15" customHeight="1">
      <c r="A46" s="107" t="n">
        <v>45</v>
      </c>
      <c r="B46" s="107" t="inlineStr">
        <is>
          <t>2S1</t>
        </is>
      </c>
      <c r="C46" s="107" t="n">
        <v>0</v>
      </c>
      <c r="D46" s="107">
        <f>IF(C46=0,1,2)</f>
        <v/>
      </c>
      <c r="E46" s="107" t="inlineStr">
        <is>
          <t>Intel JNC2</t>
        </is>
      </c>
      <c r="F46" s="107" t="inlineStr">
        <is>
          <t>VAO254600036</t>
        </is>
      </c>
      <c r="G46" s="107" t="inlineStr">
        <is>
          <t>57729510C5D400E0</t>
        </is>
      </c>
      <c r="H46" s="107" t="inlineStr">
        <is>
          <t>ES1/Q9WJ</t>
        </is>
      </c>
      <c r="I46" s="39" t="inlineStr">
        <is>
          <t>M321R4GA3PB1-CCPPC
00CE012332050091C9</t>
        </is>
      </c>
      <c r="J46" s="107" t="inlineStr">
        <is>
          <t>32D91</t>
        </is>
      </c>
      <c r="K46" s="26" t="inlineStr">
        <is>
          <t>oks-2026.07.2-g43a8af-5fe4f9b</t>
        </is>
      </c>
      <c r="L46" s="107" t="n"/>
      <c r="M46" s="107" t="inlineStr">
        <is>
          <t>Gen5</t>
        </is>
      </c>
      <c r="N46" s="107" t="inlineStr">
        <is>
          <t>SMV_Margin</t>
        </is>
      </c>
      <c r="O46" s="107" t="inlineStr">
        <is>
          <t>x4x4x4x4</t>
        </is>
      </c>
      <c r="P46" s="107" t="inlineStr">
        <is>
          <t>E1.S</t>
        </is>
      </c>
      <c r="Q46" s="107" t="inlineStr">
        <is>
          <t>pxp1</t>
        </is>
      </c>
      <c r="R46" s="60" t="n">
        <v>0</v>
      </c>
      <c r="S46" s="105" t="n"/>
      <c r="T46" s="107" t="n">
        <v>3</v>
      </c>
      <c r="U46" s="107" t="n">
        <v>2</v>
      </c>
      <c r="V46" s="107" t="n">
        <v>3</v>
      </c>
      <c r="W46" s="42" t="n">
        <v>0.01695601851851852</v>
      </c>
      <c r="X46" s="13" t="inlineStr">
        <is>
          <t>PASS</t>
        </is>
      </c>
      <c r="Y46" s="13" t="inlineStr">
        <is>
          <t>NA</t>
        </is>
      </c>
      <c r="Z46" s="13" t="inlineStr">
        <is>
          <t>NA</t>
        </is>
      </c>
      <c r="AA46" s="13" t="inlineStr">
        <is>
          <t>NA</t>
        </is>
      </c>
      <c r="AB46" s="13" t="inlineStr">
        <is>
          <t>NA</t>
        </is>
      </c>
      <c r="AC46" s="13" t="inlineStr">
        <is>
          <t>NA</t>
        </is>
      </c>
      <c r="AD46" s="13" t="inlineStr">
        <is>
          <t>NA</t>
        </is>
      </c>
      <c r="AE46" s="13" t="inlineStr">
        <is>
          <t>NA</t>
        </is>
      </c>
      <c r="AF46" s="13" t="inlineStr">
        <is>
          <t>NA</t>
        </is>
      </c>
      <c r="AG46" s="107" t="n">
        <v>0</v>
      </c>
      <c r="AH46" s="29" t="n">
        <v>0</v>
      </c>
      <c r="AI46" s="107" t="n"/>
      <c r="AJ46" s="64" t="inlineStr">
        <is>
          <t>http://10.239.81.58/Xeon/NTA/PCIE/JNC2-dbgsh83/pxp1_12_x4x4x4x4_E1.S/SMV_Margin_Test/GEN5/</t>
        </is>
      </c>
      <c r="AK46" s="57" t="n"/>
    </row>
    <row r="47" ht="15" customHeight="1">
      <c r="A47" s="107" t="n">
        <v>46</v>
      </c>
      <c r="B47" s="107" t="inlineStr">
        <is>
          <t>2S1</t>
        </is>
      </c>
      <c r="C47" s="107" t="n">
        <v>0</v>
      </c>
      <c r="D47" s="107">
        <f>IF(C47=0,1,2)</f>
        <v/>
      </c>
      <c r="E47" s="107" t="inlineStr">
        <is>
          <t>Intel JNC2</t>
        </is>
      </c>
      <c r="F47" s="107" t="inlineStr">
        <is>
          <t>VAO254600036</t>
        </is>
      </c>
      <c r="G47" s="107" t="inlineStr">
        <is>
          <t>57729510C5D400E0</t>
        </is>
      </c>
      <c r="H47" s="107" t="inlineStr">
        <is>
          <t>ES1/Q9WJ</t>
        </is>
      </c>
      <c r="I47" s="39" t="inlineStr">
        <is>
          <t>M321R4GA3PB1-CCPPC
00CE012332050091C9</t>
        </is>
      </c>
      <c r="J47" s="107" t="inlineStr">
        <is>
          <t>32D91</t>
        </is>
      </c>
      <c r="K47" s="26" t="inlineStr">
        <is>
          <t>oks-2026.07.2-g43a8af-5fe4f9b</t>
        </is>
      </c>
      <c r="L47" s="107" t="n"/>
      <c r="M47" s="107" t="inlineStr">
        <is>
          <t>Gen5</t>
        </is>
      </c>
      <c r="N47" s="107" t="inlineStr">
        <is>
          <t>SMV_Margin</t>
        </is>
      </c>
      <c r="O47" s="107" t="inlineStr">
        <is>
          <t>x4x4x4x4</t>
        </is>
      </c>
      <c r="P47" s="107" t="inlineStr">
        <is>
          <t>E1.S</t>
        </is>
      </c>
      <c r="Q47" s="107" t="inlineStr">
        <is>
          <t>pxp1</t>
        </is>
      </c>
      <c r="R47" s="60" t="n">
        <v>2</v>
      </c>
      <c r="S47" s="105" t="n"/>
      <c r="T47" s="107" t="n">
        <v>3</v>
      </c>
      <c r="U47" s="107" t="n">
        <v>2</v>
      </c>
      <c r="V47" s="107" t="n">
        <v>3</v>
      </c>
      <c r="W47" s="42" t="n">
        <v>0.01673611111111111</v>
      </c>
      <c r="X47" s="13" t="inlineStr">
        <is>
          <t>PASS</t>
        </is>
      </c>
      <c r="Y47" s="13" t="inlineStr">
        <is>
          <t>NA</t>
        </is>
      </c>
      <c r="Z47" s="13" t="inlineStr">
        <is>
          <t>NA</t>
        </is>
      </c>
      <c r="AA47" s="13" t="inlineStr">
        <is>
          <t>NA</t>
        </is>
      </c>
      <c r="AB47" s="13" t="inlineStr">
        <is>
          <t>NA</t>
        </is>
      </c>
      <c r="AC47" s="13" t="inlineStr">
        <is>
          <t>NA</t>
        </is>
      </c>
      <c r="AD47" s="13" t="inlineStr">
        <is>
          <t>NA</t>
        </is>
      </c>
      <c r="AE47" s="13" t="inlineStr">
        <is>
          <t>NA</t>
        </is>
      </c>
      <c r="AF47" s="13" t="inlineStr">
        <is>
          <t>NA</t>
        </is>
      </c>
      <c r="AG47" s="107" t="n">
        <v>0</v>
      </c>
      <c r="AH47" s="29" t="n">
        <v>0</v>
      </c>
      <c r="AI47" s="107" t="n"/>
      <c r="AJ47" s="64" t="inlineStr">
        <is>
          <t>http://10.239.81.58/Xeon/NTA/PCIE/JNC2-dbgsh83/pxp1_12_x4x4x4x4_E1.S/SMV_Margin_Test/GEN5/</t>
        </is>
      </c>
      <c r="AK47" s="57" t="n"/>
    </row>
    <row r="48" ht="15" customHeight="1">
      <c r="A48" s="107" t="n">
        <v>47</v>
      </c>
      <c r="B48" s="107" t="inlineStr">
        <is>
          <t>2S1</t>
        </is>
      </c>
      <c r="C48" s="107" t="n">
        <v>0</v>
      </c>
      <c r="D48" s="107">
        <f>IF(C48=0,1,2)</f>
        <v/>
      </c>
      <c r="E48" s="107" t="inlineStr">
        <is>
          <t>Intel JNC2</t>
        </is>
      </c>
      <c r="F48" s="107" t="inlineStr">
        <is>
          <t>VAO254600036</t>
        </is>
      </c>
      <c r="G48" s="107" t="inlineStr">
        <is>
          <t>57729510C5D400E0</t>
        </is>
      </c>
      <c r="H48" s="107" t="inlineStr">
        <is>
          <t>ES1/Q9WJ</t>
        </is>
      </c>
      <c r="I48" s="39" t="inlineStr">
        <is>
          <t>M321R4GA3PB1-CCPPC
00CE012332050091C9</t>
        </is>
      </c>
      <c r="J48" s="107" t="inlineStr">
        <is>
          <t>32D91</t>
        </is>
      </c>
      <c r="K48" s="26" t="inlineStr">
        <is>
          <t>oks-2026.07.2-g43a8af-5fe4f9b</t>
        </is>
      </c>
      <c r="L48" s="107" t="n"/>
      <c r="M48" s="107" t="inlineStr">
        <is>
          <t>Gen5</t>
        </is>
      </c>
      <c r="N48" s="107" t="inlineStr">
        <is>
          <t>SMV_Margin</t>
        </is>
      </c>
      <c r="O48" s="107" t="inlineStr">
        <is>
          <t>x4x4x4x4</t>
        </is>
      </c>
      <c r="P48" s="107" t="inlineStr">
        <is>
          <t>E1.S</t>
        </is>
      </c>
      <c r="Q48" s="107" t="inlineStr">
        <is>
          <t>pxp1</t>
        </is>
      </c>
      <c r="R48" s="60" t="n">
        <v>4</v>
      </c>
      <c r="S48" s="105" t="n"/>
      <c r="T48" s="107" t="n">
        <v>3</v>
      </c>
      <c r="U48" s="107" t="n">
        <v>2</v>
      </c>
      <c r="V48" s="107" t="n">
        <v>3</v>
      </c>
      <c r="W48" s="42" t="n">
        <v>0.01722222222222222</v>
      </c>
      <c r="X48" s="13" t="inlineStr">
        <is>
          <t>PASS</t>
        </is>
      </c>
      <c r="Y48" s="13" t="inlineStr">
        <is>
          <t>NA</t>
        </is>
      </c>
      <c r="Z48" s="13" t="inlineStr">
        <is>
          <t>NA</t>
        </is>
      </c>
      <c r="AA48" s="13" t="inlineStr">
        <is>
          <t>NA</t>
        </is>
      </c>
      <c r="AB48" s="13" t="inlineStr">
        <is>
          <t>NA</t>
        </is>
      </c>
      <c r="AC48" s="13" t="inlineStr">
        <is>
          <t>NA</t>
        </is>
      </c>
      <c r="AD48" s="13" t="inlineStr">
        <is>
          <t>NA</t>
        </is>
      </c>
      <c r="AE48" s="13" t="inlineStr">
        <is>
          <t>NA</t>
        </is>
      </c>
      <c r="AF48" s="13" t="inlineStr">
        <is>
          <t>NA</t>
        </is>
      </c>
      <c r="AG48" s="107" t="n">
        <v>0</v>
      </c>
      <c r="AH48" s="29" t="n">
        <v>0</v>
      </c>
      <c r="AI48" s="107" t="n"/>
      <c r="AJ48" s="64" t="inlineStr">
        <is>
          <t>http://10.239.81.58/Xeon/NTA/PCIE/JNC2-dbgsh83/pxp1_12_x4x4x4x4_E1.S/SMV_Margin_Test/GEN5/</t>
        </is>
      </c>
      <c r="AK48" s="57" t="n"/>
    </row>
    <row r="49" ht="15" customHeight="1">
      <c r="A49" s="107" t="n">
        <v>48</v>
      </c>
      <c r="B49" s="107" t="inlineStr">
        <is>
          <t>2S1</t>
        </is>
      </c>
      <c r="C49" s="107" t="n">
        <v>0</v>
      </c>
      <c r="D49" s="107">
        <f>IF(C49=0,1,2)</f>
        <v/>
      </c>
      <c r="E49" s="107" t="inlineStr">
        <is>
          <t>Intel JNC2</t>
        </is>
      </c>
      <c r="F49" s="107" t="inlineStr">
        <is>
          <t>VAO254600036</t>
        </is>
      </c>
      <c r="G49" s="107" t="inlineStr">
        <is>
          <t>57729510C5D400E0</t>
        </is>
      </c>
      <c r="H49" s="107" t="inlineStr">
        <is>
          <t>ES1/Q9WJ</t>
        </is>
      </c>
      <c r="I49" s="39" t="inlineStr">
        <is>
          <t>M321R4GA3PB1-CCPPC
00CE012332050091C9</t>
        </is>
      </c>
      <c r="J49" s="107" t="inlineStr">
        <is>
          <t>32D91</t>
        </is>
      </c>
      <c r="K49" s="26" t="inlineStr">
        <is>
          <t>oks-2026.07.2-g43a8af-5fe4f9b</t>
        </is>
      </c>
      <c r="L49" s="107" t="n"/>
      <c r="M49" s="107" t="inlineStr">
        <is>
          <t>Gen5</t>
        </is>
      </c>
      <c r="N49" s="107" t="inlineStr">
        <is>
          <t>SMV_Margin</t>
        </is>
      </c>
      <c r="O49" s="107" t="inlineStr">
        <is>
          <t>x4x4x4x4</t>
        </is>
      </c>
      <c r="P49" s="107" t="inlineStr">
        <is>
          <t>E1.S</t>
        </is>
      </c>
      <c r="Q49" s="107" t="inlineStr">
        <is>
          <t>pxp1</t>
        </is>
      </c>
      <c r="R49" s="60" t="n">
        <v>6</v>
      </c>
      <c r="S49" s="105" t="n"/>
      <c r="T49" s="107" t="n">
        <v>3</v>
      </c>
      <c r="U49" s="107" t="n">
        <v>2</v>
      </c>
      <c r="V49" s="107" t="n">
        <v>3</v>
      </c>
      <c r="W49" s="42" t="n">
        <v>0.01696759259259259</v>
      </c>
      <c r="X49" s="13" t="inlineStr">
        <is>
          <t>PASS</t>
        </is>
      </c>
      <c r="Y49" s="13" t="inlineStr">
        <is>
          <t>NA</t>
        </is>
      </c>
      <c r="Z49" s="13" t="inlineStr">
        <is>
          <t>NA</t>
        </is>
      </c>
      <c r="AA49" s="13" t="inlineStr">
        <is>
          <t>NA</t>
        </is>
      </c>
      <c r="AB49" s="13" t="inlineStr">
        <is>
          <t>NA</t>
        </is>
      </c>
      <c r="AC49" s="13" t="inlineStr">
        <is>
          <t>NA</t>
        </is>
      </c>
      <c r="AD49" s="13" t="inlineStr">
        <is>
          <t>NA</t>
        </is>
      </c>
      <c r="AE49" s="13" t="inlineStr">
        <is>
          <t>NA</t>
        </is>
      </c>
      <c r="AF49" s="13" t="inlineStr">
        <is>
          <t>NA</t>
        </is>
      </c>
      <c r="AG49" s="107" t="n">
        <v>0</v>
      </c>
      <c r="AH49" s="29" t="n">
        <v>0</v>
      </c>
      <c r="AI49" s="107" t="n"/>
      <c r="AJ49" s="64" t="inlineStr">
        <is>
          <t>http://10.239.81.58/Xeon/NTA/PCIE/JNC2-dbgsh83/pxp1_12_x4x4x4x4_E1.S/SMV_Margin_Test/GEN5/</t>
        </is>
      </c>
      <c r="AK49" s="57" t="n"/>
    </row>
    <row r="50" ht="15" customHeight="1">
      <c r="A50" s="107" t="n">
        <v>49</v>
      </c>
      <c r="B50" s="107" t="inlineStr">
        <is>
          <t>2S12</t>
        </is>
      </c>
      <c r="C50" s="107" t="n">
        <v>0</v>
      </c>
      <c r="D50" s="107">
        <f>IF(C50=0,1,2)</f>
        <v/>
      </c>
      <c r="E50" s="107" t="inlineStr">
        <is>
          <t>Intel JNC2</t>
        </is>
      </c>
      <c r="F50" s="107" t="inlineStr">
        <is>
          <t>VAO254600036</t>
        </is>
      </c>
      <c r="G50" s="107" t="inlineStr">
        <is>
          <t>57729510C5D400E0</t>
        </is>
      </c>
      <c r="H50" s="107" t="inlineStr">
        <is>
          <t>ES1/Q9WJ</t>
        </is>
      </c>
      <c r="I50" s="39" t="inlineStr">
        <is>
          <t>M321R4GA3PB1-CCPPC
00CE012332050091C9</t>
        </is>
      </c>
      <c r="J50" s="107" t="inlineStr">
        <is>
          <t>32D91</t>
        </is>
      </c>
      <c r="K50" s="26" t="inlineStr">
        <is>
          <t>oks-2026.07.2-g43a8af-5fe4f9b</t>
        </is>
      </c>
      <c r="L50" s="107" t="n"/>
      <c r="M50" s="107" t="inlineStr">
        <is>
          <t>Gen5</t>
        </is>
      </c>
      <c r="N50" s="107" t="inlineStr">
        <is>
          <t>SMV_Margin</t>
        </is>
      </c>
      <c r="O50" s="107" t="inlineStr">
        <is>
          <t>x4x4x4x4</t>
        </is>
      </c>
      <c r="P50" s="107" t="inlineStr">
        <is>
          <t>E1.S</t>
        </is>
      </c>
      <c r="Q50" s="107" t="inlineStr">
        <is>
          <t>pxp12</t>
        </is>
      </c>
      <c r="R50" s="60" t="n">
        <v>0</v>
      </c>
      <c r="S50" s="107" t="n"/>
      <c r="T50" s="107" t="n">
        <v>3</v>
      </c>
      <c r="U50" s="107" t="n">
        <v>2</v>
      </c>
      <c r="V50" s="107" t="n">
        <v>3</v>
      </c>
      <c r="W50" s="42" t="n">
        <v>0.0172337962962963</v>
      </c>
      <c r="X50" s="13" t="inlineStr">
        <is>
          <t>PASS</t>
        </is>
      </c>
      <c r="Y50" s="13" t="inlineStr">
        <is>
          <t>NA</t>
        </is>
      </c>
      <c r="Z50" s="13" t="inlineStr">
        <is>
          <t>NA</t>
        </is>
      </c>
      <c r="AA50" s="13" t="inlineStr">
        <is>
          <t>NA</t>
        </is>
      </c>
      <c r="AB50" s="13" t="inlineStr">
        <is>
          <t>NA</t>
        </is>
      </c>
      <c r="AC50" s="13" t="inlineStr">
        <is>
          <t>NA</t>
        </is>
      </c>
      <c r="AD50" s="13" t="inlineStr">
        <is>
          <t>NA</t>
        </is>
      </c>
      <c r="AE50" s="13" t="inlineStr">
        <is>
          <t>NA</t>
        </is>
      </c>
      <c r="AF50" s="13" t="inlineStr">
        <is>
          <t>NA</t>
        </is>
      </c>
      <c r="AG50" s="107" t="n">
        <v>0</v>
      </c>
      <c r="AH50" s="29" t="n">
        <v>0</v>
      </c>
      <c r="AI50" s="107" t="n"/>
      <c r="AJ50" s="64" t="inlineStr">
        <is>
          <t>http://10.239.81.58/Xeon/NTA/PCIE/JNC2-dbgsh83/pxp1_12_x4x4x4x4_E1.S/SMV_Margin_Test/GEN5/</t>
        </is>
      </c>
      <c r="AK50" s="26" t="n"/>
    </row>
    <row r="51" ht="15" customHeight="1">
      <c r="A51" s="107" t="n">
        <v>50</v>
      </c>
      <c r="B51" s="107" t="inlineStr">
        <is>
          <t>2S12</t>
        </is>
      </c>
      <c r="C51" s="107" t="n">
        <v>0</v>
      </c>
      <c r="D51" s="107">
        <f>IF(C51=0,1,2)</f>
        <v/>
      </c>
      <c r="E51" s="107" t="inlineStr">
        <is>
          <t>Intel JNC2</t>
        </is>
      </c>
      <c r="F51" s="107" t="inlineStr">
        <is>
          <t>VAO254600036</t>
        </is>
      </c>
      <c r="G51" s="107" t="inlineStr">
        <is>
          <t>57729510C5D400E0</t>
        </is>
      </c>
      <c r="H51" s="107" t="inlineStr">
        <is>
          <t>ES1/Q9WJ</t>
        </is>
      </c>
      <c r="I51" s="39" t="inlineStr">
        <is>
          <t>M321R4GA3PB1-CCPPC
00CE012332050091C9</t>
        </is>
      </c>
      <c r="J51" s="107" t="inlineStr">
        <is>
          <t>32D91</t>
        </is>
      </c>
      <c r="K51" s="26" t="inlineStr">
        <is>
          <t>oks-2026.07.2-g43a8af-5fe4f9b</t>
        </is>
      </c>
      <c r="L51" s="107" t="n"/>
      <c r="M51" s="107" t="inlineStr">
        <is>
          <t>Gen5</t>
        </is>
      </c>
      <c r="N51" s="107" t="inlineStr">
        <is>
          <t>SMV_Margin</t>
        </is>
      </c>
      <c r="O51" s="107" t="inlineStr">
        <is>
          <t>x4x4x4x4</t>
        </is>
      </c>
      <c r="P51" s="107" t="inlineStr">
        <is>
          <t>E1.S</t>
        </is>
      </c>
      <c r="Q51" s="107" t="inlineStr">
        <is>
          <t>pxp12</t>
        </is>
      </c>
      <c r="R51" s="60" t="n">
        <v>2</v>
      </c>
      <c r="S51" s="107" t="n"/>
      <c r="T51" s="107" t="n">
        <v>3</v>
      </c>
      <c r="U51" s="107" t="n">
        <v>2</v>
      </c>
      <c r="V51" s="107" t="n">
        <v>3</v>
      </c>
      <c r="W51" s="42" t="n">
        <v>0.01719907407407407</v>
      </c>
      <c r="X51" s="13" t="inlineStr">
        <is>
          <t>PASS</t>
        </is>
      </c>
      <c r="Y51" s="13" t="inlineStr">
        <is>
          <t>NA</t>
        </is>
      </c>
      <c r="Z51" s="13" t="inlineStr">
        <is>
          <t>NA</t>
        </is>
      </c>
      <c r="AA51" s="13" t="inlineStr">
        <is>
          <t>NA</t>
        </is>
      </c>
      <c r="AB51" s="13" t="inlineStr">
        <is>
          <t>NA</t>
        </is>
      </c>
      <c r="AC51" s="13" t="inlineStr">
        <is>
          <t>NA</t>
        </is>
      </c>
      <c r="AD51" s="13" t="inlineStr">
        <is>
          <t>NA</t>
        </is>
      </c>
      <c r="AE51" s="13" t="inlineStr">
        <is>
          <t>NA</t>
        </is>
      </c>
      <c r="AF51" s="13" t="inlineStr">
        <is>
          <t>NA</t>
        </is>
      </c>
      <c r="AG51" s="107" t="n">
        <v>0</v>
      </c>
      <c r="AH51" s="29" t="n">
        <v>0</v>
      </c>
      <c r="AI51" s="107" t="n"/>
      <c r="AJ51" s="64" t="inlineStr">
        <is>
          <t>http://10.239.81.58/Xeon/NTA/PCIE/JNC2-dbgsh83/pxp1_12_x4x4x4x4_E1.S/SMV_Margin_Test/GEN5/</t>
        </is>
      </c>
      <c r="AK51" s="26" t="n"/>
    </row>
    <row r="52" ht="15" customHeight="1">
      <c r="A52" s="107" t="n">
        <v>51</v>
      </c>
      <c r="B52" s="107" t="inlineStr">
        <is>
          <t>2S12</t>
        </is>
      </c>
      <c r="C52" s="107" t="n">
        <v>0</v>
      </c>
      <c r="D52" s="107">
        <f>IF(C52=0,1,2)</f>
        <v/>
      </c>
      <c r="E52" s="107" t="inlineStr">
        <is>
          <t>Intel JNC2</t>
        </is>
      </c>
      <c r="F52" s="107" t="inlineStr">
        <is>
          <t>VAO254600036</t>
        </is>
      </c>
      <c r="G52" s="107" t="inlineStr">
        <is>
          <t>57729510C5D400E0</t>
        </is>
      </c>
      <c r="H52" s="107" t="inlineStr">
        <is>
          <t>ES1/Q9WJ</t>
        </is>
      </c>
      <c r="I52" s="39" t="inlineStr">
        <is>
          <t>M321R4GA3PB1-CCPPC
00CE012332050091C9</t>
        </is>
      </c>
      <c r="J52" s="107" t="inlineStr">
        <is>
          <t>32D91</t>
        </is>
      </c>
      <c r="K52" s="26" t="inlineStr">
        <is>
          <t>oks-2026.07.2-g43a8af-5fe4f9b</t>
        </is>
      </c>
      <c r="L52" s="107" t="n"/>
      <c r="M52" s="107" t="inlineStr">
        <is>
          <t>Gen5</t>
        </is>
      </c>
      <c r="N52" s="107" t="inlineStr">
        <is>
          <t>SMV_Margin</t>
        </is>
      </c>
      <c r="O52" s="107" t="inlineStr">
        <is>
          <t>x4x4x4x4</t>
        </is>
      </c>
      <c r="P52" s="107" t="inlineStr">
        <is>
          <t>E1.S</t>
        </is>
      </c>
      <c r="Q52" s="107" t="inlineStr">
        <is>
          <t>pxp12</t>
        </is>
      </c>
      <c r="R52" s="60" t="n">
        <v>4</v>
      </c>
      <c r="S52" s="107" t="n"/>
      <c r="T52" s="107" t="n">
        <v>3</v>
      </c>
      <c r="U52" s="107" t="n">
        <v>2</v>
      </c>
      <c r="V52" s="107" t="n">
        <v>3</v>
      </c>
      <c r="W52" s="42" t="n">
        <v>0.01737268518518519</v>
      </c>
      <c r="X52" s="13" t="inlineStr">
        <is>
          <t>PASS</t>
        </is>
      </c>
      <c r="Y52" s="13" t="inlineStr">
        <is>
          <t>NA</t>
        </is>
      </c>
      <c r="Z52" s="13" t="inlineStr">
        <is>
          <t>NA</t>
        </is>
      </c>
      <c r="AA52" s="13" t="inlineStr">
        <is>
          <t>NA</t>
        </is>
      </c>
      <c r="AB52" s="13" t="inlineStr">
        <is>
          <t>NA</t>
        </is>
      </c>
      <c r="AC52" s="13" t="inlineStr">
        <is>
          <t>NA</t>
        </is>
      </c>
      <c r="AD52" s="13" t="inlineStr">
        <is>
          <t>NA</t>
        </is>
      </c>
      <c r="AE52" s="13" t="inlineStr">
        <is>
          <t>NA</t>
        </is>
      </c>
      <c r="AF52" s="13" t="inlineStr">
        <is>
          <t>NA</t>
        </is>
      </c>
      <c r="AG52" s="107" t="n">
        <v>0</v>
      </c>
      <c r="AH52" s="29" t="n">
        <v>0</v>
      </c>
      <c r="AI52" s="107" t="n"/>
      <c r="AJ52" s="64" t="inlineStr">
        <is>
          <t>http://10.239.81.58/Xeon/NTA/PCIE/JNC2-dbgsh83/pxp1_12_x4x4x4x4_E1.S/SMV_Margin_Test/GEN5/</t>
        </is>
      </c>
      <c r="AK52" s="26" t="n"/>
    </row>
    <row r="53" ht="15" customHeight="1">
      <c r="A53" s="107" t="n">
        <v>52</v>
      </c>
      <c r="B53" s="107" t="inlineStr">
        <is>
          <t>2S12</t>
        </is>
      </c>
      <c r="C53" s="107" t="n">
        <v>0</v>
      </c>
      <c r="D53" s="107">
        <f>IF(C53=0,1,2)</f>
        <v/>
      </c>
      <c r="E53" s="107" t="inlineStr">
        <is>
          <t>Intel JNC2</t>
        </is>
      </c>
      <c r="F53" s="107" t="inlineStr">
        <is>
          <t>VAO254600036</t>
        </is>
      </c>
      <c r="G53" s="107" t="inlineStr">
        <is>
          <t>57729510C5D400E0</t>
        </is>
      </c>
      <c r="H53" s="107" t="inlineStr">
        <is>
          <t>ES1/Q9WJ</t>
        </is>
      </c>
      <c r="I53" s="39" t="inlineStr">
        <is>
          <t>M321R4GA3PB1-CCPPC
00CE012332050091C9</t>
        </is>
      </c>
      <c r="J53" s="107" t="inlineStr">
        <is>
          <t>32D91</t>
        </is>
      </c>
      <c r="K53" s="26" t="inlineStr">
        <is>
          <t>oks-2026.07.2-g43a8af-5fe4f9b</t>
        </is>
      </c>
      <c r="L53" s="107" t="n"/>
      <c r="M53" s="107" t="inlineStr">
        <is>
          <t>Gen5</t>
        </is>
      </c>
      <c r="N53" s="107" t="inlineStr">
        <is>
          <t>SMV_Margin</t>
        </is>
      </c>
      <c r="O53" s="107" t="inlineStr">
        <is>
          <t>x4x4x4x4</t>
        </is>
      </c>
      <c r="P53" s="107" t="inlineStr">
        <is>
          <t>E1.S</t>
        </is>
      </c>
      <c r="Q53" s="107" t="inlineStr">
        <is>
          <t>pxp12</t>
        </is>
      </c>
      <c r="R53" s="60" t="n">
        <v>6</v>
      </c>
      <c r="S53" s="107" t="n"/>
      <c r="T53" s="107" t="n">
        <v>3</v>
      </c>
      <c r="U53" s="107" t="n">
        <v>2</v>
      </c>
      <c r="V53" s="107" t="n">
        <v>3</v>
      </c>
      <c r="W53" s="42" t="n">
        <v>0.01696759259259259</v>
      </c>
      <c r="X53" s="13" t="inlineStr">
        <is>
          <t>PASS</t>
        </is>
      </c>
      <c r="Y53" s="13" t="inlineStr">
        <is>
          <t>NA</t>
        </is>
      </c>
      <c r="Z53" s="13" t="inlineStr">
        <is>
          <t>NA</t>
        </is>
      </c>
      <c r="AA53" s="13" t="inlineStr">
        <is>
          <t>NA</t>
        </is>
      </c>
      <c r="AB53" s="13" t="inlineStr">
        <is>
          <t>NA</t>
        </is>
      </c>
      <c r="AC53" s="13" t="inlineStr">
        <is>
          <t>NA</t>
        </is>
      </c>
      <c r="AD53" s="13" t="inlineStr">
        <is>
          <t>NA</t>
        </is>
      </c>
      <c r="AE53" s="13" t="inlineStr">
        <is>
          <t>NA</t>
        </is>
      </c>
      <c r="AF53" s="13" t="inlineStr">
        <is>
          <t>NA</t>
        </is>
      </c>
      <c r="AG53" s="107" t="n">
        <v>0</v>
      </c>
      <c r="AH53" s="29" t="n">
        <v>0</v>
      </c>
      <c r="AI53" s="107" t="n"/>
      <c r="AJ53" s="64" t="inlineStr">
        <is>
          <t>http://10.239.81.58/Xeon/NTA/PCIE/JNC2-dbgsh83/pxp1_12_x4x4x4x4_E1.S/SMV_Margin_Test/GEN5/</t>
        </is>
      </c>
      <c r="AK53" s="26" t="n"/>
    </row>
  </sheetData>
  <autoFilter ref="A1:AK53">
    <filterColumn colId="15" hiddenButton="0" showButton="1">
      <filters>
        <filter val="E1.S"/>
      </filters>
    </filterColumn>
    <filterColumn colId="16" hiddenButton="0" showButton="1">
      <filters>
        <filter val="pxp1"/>
        <filter val="pxp12"/>
      </filters>
    </filterColumn>
  </autoFilter>
  <conditionalFormatting sqref="M2:M53">
    <cfRule type="containsText" priority="205" operator="containsText" dxfId="5" text="Gen5">
      <formula>NOT(ISERROR(SEARCH("Gen5",M2)))</formula>
    </cfRule>
    <cfRule type="containsText" priority="206" operator="containsText" dxfId="4" text="Gen6">
      <formula>NOT(ISERROR(SEARCH("Gen6",M2)))</formula>
    </cfRule>
  </conditionalFormatting>
  <conditionalFormatting sqref="N2:N53">
    <cfRule type="containsText" priority="228" operator="containsText" dxfId="5" text="SMV_Margin">
      <formula>NOT(ISERROR(SEARCH("SMV_Margin",N2)))</formula>
    </cfRule>
    <cfRule type="containsText" priority="229" operator="containsText" dxfId="4" text="LTSSM">
      <formula>NOT(ISERROR(SEARCH("LTSSM",N2)))</formula>
    </cfRule>
  </conditionalFormatting>
  <conditionalFormatting sqref="O2:O53">
    <cfRule type="containsText" priority="207" operator="containsText" dxfId="5" text="x4x4x4x4">
      <formula>NOT(ISERROR(SEARCH("x4x4x4x4",O2)))</formula>
    </cfRule>
    <cfRule type="containsText" priority="208" operator="containsText" dxfId="4" text="x16">
      <formula>NOT(ISERROR(SEARCH("x16",O2)))</formula>
    </cfRule>
  </conditionalFormatting>
  <conditionalFormatting sqref="P2:P53">
    <cfRule type="containsText" priority="209" operator="containsText" dxfId="5" text="E1.S">
      <formula>NOT(ISERROR(SEARCH("E1.S",P2)))</formula>
    </cfRule>
    <cfRule type="containsText" priority="210" operator="containsText" dxfId="4" text="CX8">
      <formula>NOT(ISERROR(SEARCH("CX8",P2)))</formula>
    </cfRule>
  </conditionalFormatting>
  <conditionalFormatting sqref="Q2:Q53">
    <cfRule type="containsText" priority="232" operator="containsText" dxfId="129" text="pxp">
      <formula>NOT(ISERROR(SEARCH("pxp",Q2)))</formula>
    </cfRule>
  </conditionalFormatting>
  <conditionalFormatting sqref="T2:T53">
    <cfRule type="cellIs" priority="227" operator="equal" dxfId="4">
      <formula>1000</formula>
    </cfRule>
  </conditionalFormatting>
  <conditionalFormatting sqref="T2:V53">
    <cfRule type="cellIs" priority="224" operator="equal" dxfId="5">
      <formula>3</formula>
    </cfRule>
  </conditionalFormatting>
  <conditionalFormatting sqref="U2:U53">
    <cfRule type="containsText" priority="226" operator="containsText" dxfId="126" text="NA">
      <formula>NOT(ISERROR(SEARCH("NA",U2)))</formula>
    </cfRule>
  </conditionalFormatting>
  <conditionalFormatting sqref="V2:V53">
    <cfRule type="containsText" priority="223" operator="containsText" dxfId="125" text="NA">
      <formula>NOT(ISERROR(SEARCH("NA",V2)))</formula>
    </cfRule>
  </conditionalFormatting>
  <conditionalFormatting sqref="X2:X40">
    <cfRule type="containsText" priority="53" operator="containsText" dxfId="2" text="block">
      <formula>NOT(ISERROR(SEARCH("block",X2)))</formula>
    </cfRule>
    <cfRule type="containsText" priority="54" operator="containsText" dxfId="2" text="NA">
      <formula>NOT(ISERROR(SEARCH("NA",X2)))</formula>
    </cfRule>
    <cfRule type="containsText" priority="55" operator="containsText" dxfId="1" text="fail">
      <formula>NOT(ISERROR(SEARCH("fail",X2)))</formula>
    </cfRule>
    <cfRule type="containsText" priority="56" operator="containsText" dxfId="0" text="pass">
      <formula>NOT(ISERROR(SEARCH("pass",X2)))</formula>
    </cfRule>
  </conditionalFormatting>
  <conditionalFormatting sqref="X41:AF53">
    <cfRule type="containsText" priority="85" operator="containsText" dxfId="2" text="block">
      <formula>NOT(ISERROR(SEARCH("block",X41)))</formula>
    </cfRule>
    <cfRule type="containsText" priority="86" operator="containsText" dxfId="2" text="NA">
      <formula>NOT(ISERROR(SEARCH("NA",X41)))</formula>
    </cfRule>
    <cfRule type="containsText" priority="87" operator="containsText" dxfId="1" text="fail">
      <formula>NOT(ISERROR(SEARCH("fail",X41)))</formula>
    </cfRule>
    <cfRule type="containsText" priority="88" operator="containsText" dxfId="0" text="pass">
      <formula>NOT(ISERROR(SEARCH("pass",X41)))</formula>
    </cfRule>
  </conditionalFormatting>
  <conditionalFormatting sqref="Y8:AE14">
    <cfRule type="containsText" priority="93" operator="containsText" dxfId="2" text="block">
      <formula>NOT(ISERROR(SEARCH("block",Y8)))</formula>
    </cfRule>
    <cfRule type="containsText" priority="94" operator="containsText" dxfId="2" text="NA">
      <formula>NOT(ISERROR(SEARCH("NA",Y8)))</formula>
    </cfRule>
    <cfRule type="containsText" priority="95" operator="containsText" dxfId="1" text="fail">
      <formula>NOT(ISERROR(SEARCH("fail",Y8)))</formula>
    </cfRule>
    <cfRule type="containsText" priority="96" operator="containsText" dxfId="0" text="pass">
      <formula>NOT(ISERROR(SEARCH("pass",Y8)))</formula>
    </cfRule>
  </conditionalFormatting>
  <conditionalFormatting sqref="Y33:AE36">
    <cfRule type="containsText" priority="25" operator="containsText" dxfId="2" text="block">
      <formula>NOT(ISERROR(SEARCH("block",Y33)))</formula>
    </cfRule>
    <cfRule type="containsText" priority="26" operator="containsText" dxfId="2" text="NA">
      <formula>NOT(ISERROR(SEARCH("NA",Y33)))</formula>
    </cfRule>
    <cfRule type="containsText" priority="27" operator="containsText" dxfId="1" text="fail">
      <formula>NOT(ISERROR(SEARCH("fail",Y33)))</formula>
    </cfRule>
    <cfRule type="containsText" priority="28" operator="containsText" dxfId="0" text="pass">
      <formula>NOT(ISERROR(SEARCH("pass",Y33)))</formula>
    </cfRule>
  </conditionalFormatting>
  <conditionalFormatting sqref="Y37:AE40">
    <cfRule type="containsText" priority="5" operator="containsText" dxfId="2" text="block">
      <formula>NOT(ISERROR(SEARCH("block",Y37)))</formula>
    </cfRule>
    <cfRule type="containsText" priority="6" operator="containsText" dxfId="2" text="NA">
      <formula>NOT(ISERROR(SEARCH("NA",Y37)))</formula>
    </cfRule>
    <cfRule type="containsText" priority="7" operator="containsText" dxfId="1" text="fail">
      <formula>NOT(ISERROR(SEARCH("fail",Y37)))</formula>
    </cfRule>
    <cfRule type="containsText" priority="8" operator="containsText" dxfId="0" text="pass">
      <formula>NOT(ISERROR(SEARCH("pass",Y37)))</formula>
    </cfRule>
  </conditionalFormatting>
  <conditionalFormatting sqref="Y2:AF7">
    <cfRule type="containsText" priority="121" operator="containsText" dxfId="2" text="block">
      <formula>NOT(ISERROR(SEARCH("block",Y2)))</formula>
    </cfRule>
    <cfRule type="containsText" priority="122" operator="containsText" dxfId="2" text="NA">
      <formula>NOT(ISERROR(SEARCH("NA",Y2)))</formula>
    </cfRule>
    <cfRule type="containsText" priority="123" operator="containsText" dxfId="1" text="fail">
      <formula>NOT(ISERROR(SEARCH("fail",Y2)))</formula>
    </cfRule>
    <cfRule type="containsText" priority="124" operator="containsText" dxfId="0" text="pass">
      <formula>NOT(ISERROR(SEARCH("pass",Y2)))</formula>
    </cfRule>
  </conditionalFormatting>
  <conditionalFormatting sqref="Y15:AF28">
    <cfRule type="containsText" priority="145" operator="containsText" dxfId="2" text="block">
      <formula>NOT(ISERROR(SEARCH("block",Y15)))</formula>
    </cfRule>
    <cfRule type="containsText" priority="146" operator="containsText" dxfId="2" text="NA">
      <formula>NOT(ISERROR(SEARCH("NA",Y15)))</formula>
    </cfRule>
    <cfRule type="containsText" priority="147" operator="containsText" dxfId="1" text="fail">
      <formula>NOT(ISERROR(SEARCH("fail",Y15)))</formula>
    </cfRule>
    <cfRule type="containsText" priority="148" operator="containsText" dxfId="0" text="pass">
      <formula>NOT(ISERROR(SEARCH("pass",Y15)))</formula>
    </cfRule>
  </conditionalFormatting>
  <conditionalFormatting sqref="Y29:AF32">
    <cfRule type="containsText" priority="125" operator="containsText" dxfId="2" text="block">
      <formula>NOT(ISERROR(SEARCH("block",Y29)))</formula>
    </cfRule>
    <cfRule type="containsText" priority="126" operator="containsText" dxfId="2" text="NA">
      <formula>NOT(ISERROR(SEARCH("NA",Y29)))</formula>
    </cfRule>
    <cfRule type="containsText" priority="127" operator="containsText" dxfId="1" text="fail">
      <formula>NOT(ISERROR(SEARCH("fail",Y29)))</formula>
    </cfRule>
    <cfRule type="containsText" priority="128" operator="containsText" dxfId="0" text="pass">
      <formula>NOT(ISERROR(SEARCH("pass",Y29)))</formula>
    </cfRule>
  </conditionalFormatting>
  <conditionalFormatting sqref="Z15:AE19">
    <cfRule type="containsText" priority="177" operator="containsText" dxfId="2" text="block">
      <formula>NOT(ISERROR(SEARCH("block",Z15)))</formula>
    </cfRule>
    <cfRule type="containsText" priority="178" operator="containsText" dxfId="2" text="NA">
      <formula>NOT(ISERROR(SEARCH("NA",Z15)))</formula>
    </cfRule>
    <cfRule type="containsText" priority="179" operator="containsText" dxfId="1" text="fail">
      <formula>NOT(ISERROR(SEARCH("fail",Z15)))</formula>
    </cfRule>
    <cfRule type="containsText" priority="180" operator="containsText" dxfId="0" text="pass">
      <formula>NOT(ISERROR(SEARCH("pass",Z15)))</formula>
    </cfRule>
  </conditionalFormatting>
  <conditionalFormatting sqref="AC28">
    <cfRule type="containsText" priority="141" operator="containsText" dxfId="2" text="block">
      <formula>NOT(ISERROR(SEARCH("block",AC28)))</formula>
    </cfRule>
    <cfRule type="containsText" priority="142" operator="containsText" dxfId="2" text="NA">
      <formula>NOT(ISERROR(SEARCH("NA",AC28)))</formula>
    </cfRule>
    <cfRule type="containsText" priority="143" operator="containsText" dxfId="1" text="fail">
      <formula>NOT(ISERROR(SEARCH("fail",AC28)))</formula>
    </cfRule>
    <cfRule type="containsText" priority="144" operator="containsText" dxfId="0" text="pass">
      <formula>NOT(ISERROR(SEARCH("pass",AC28)))</formula>
    </cfRule>
  </conditionalFormatting>
  <conditionalFormatting sqref="AC33:AC36">
    <cfRule type="containsText" priority="21" operator="containsText" dxfId="2" text="block">
      <formula>NOT(ISERROR(SEARCH("block",AC33)))</formula>
    </cfRule>
    <cfRule type="containsText" priority="22" operator="containsText" dxfId="2" text="NA">
      <formula>NOT(ISERROR(SEARCH("NA",AC33)))</formula>
    </cfRule>
    <cfRule type="containsText" priority="23" operator="containsText" dxfId="1" text="fail">
      <formula>NOT(ISERROR(SEARCH("fail",AC33)))</formula>
    </cfRule>
    <cfRule type="containsText" priority="24" operator="containsText" dxfId="0" text="pass">
      <formula>NOT(ISERROR(SEARCH("pass",AC33)))</formula>
    </cfRule>
  </conditionalFormatting>
  <conditionalFormatting sqref="AF8:AF19">
    <cfRule type="containsText" priority="236" operator="containsText" dxfId="2" text="block">
      <formula>NOT(ISERROR(SEARCH("block",AF8)))</formula>
    </cfRule>
    <cfRule type="containsText" priority="237" operator="containsText" dxfId="2" text="NA">
      <formula>NOT(ISERROR(SEARCH("NA",AF8)))</formula>
    </cfRule>
    <cfRule type="containsText" priority="238" operator="containsText" dxfId="1" text="fail">
      <formula>NOT(ISERROR(SEARCH("fail",AF8)))</formula>
    </cfRule>
    <cfRule type="containsText" priority="239" operator="containsText" dxfId="0" text="pass">
      <formula>NOT(ISERROR(SEARCH("pass",AF8)))</formula>
    </cfRule>
  </conditionalFormatting>
  <conditionalFormatting sqref="AF33:AF40">
    <cfRule type="containsText" priority="1" operator="containsText" dxfId="2" text="block">
      <formula>NOT(ISERROR(SEARCH("block",AF33)))</formula>
    </cfRule>
    <cfRule type="containsText" priority="2" operator="containsText" dxfId="2" text="NA">
      <formula>NOT(ISERROR(SEARCH("NA",AF33)))</formula>
    </cfRule>
    <cfRule type="containsText" priority="3" operator="containsText" dxfId="1" text="fail">
      <formula>NOT(ISERROR(SEARCH("fail",AF33)))</formula>
    </cfRule>
    <cfRule type="containsText" priority="4" operator="containsText" dxfId="0" text="pass">
      <formula>NOT(ISERROR(SEARCH("pass",AF33)))</formula>
    </cfRule>
  </conditionalFormatting>
  <conditionalFormatting sqref="AG2:AH53">
    <cfRule type="cellIs" priority="221" operator="greaterThan" dxfId="1">
      <formula>0</formula>
    </cfRule>
    <cfRule type="cellIs" priority="222" operator="equal" dxfId="0">
      <formula>0</formula>
    </cfRule>
  </conditionalFormatting>
  <conditionalFormatting sqref="AK2:AK36 AK41:AK53">
    <cfRule type="containsText" priority="213" operator="containsText" dxfId="70" text="NA">
      <formula>NOT(ISERROR(SEARCH("NA",AK2)))</formula>
    </cfRule>
  </conditionalFormatting>
  <conditionalFormatting sqref="AK2:AK53">
    <cfRule type="containsBlanks" priority="211" dxfId="69">
      <formula>LEN(TRIM(AK2))=0</formula>
    </cfRule>
    <cfRule type="notContainsText" priority="212" operator="notContains" dxfId="1" text="NA">
      <formula>ISERROR(SEARCH("NA",AK2))</formula>
    </cfRule>
  </conditionalFormatting>
  <dataValidations count="10">
    <dataValidation sqref="V2:V53" showDropDown="0" showInputMessage="1" showErrorMessage="1" allowBlank="1" type="list">
      <formula1>"3,NA"</formula1>
    </dataValidation>
    <dataValidation sqref="T2:T53" showDropDown="0" showInputMessage="1" showErrorMessage="1" allowBlank="1" type="list">
      <formula1>"1000,3"</formula1>
    </dataValidation>
    <dataValidation sqref="N2:N53" showDropDown="0" showInputMessage="1" showErrorMessage="1" allowBlank="1" type="list">
      <formula1>"LTSSM,SMV_Margin"</formula1>
    </dataValidation>
    <dataValidation sqref="M2:N53" showDropDown="0" showInputMessage="1" showErrorMessage="1" allowBlank="1" type="list">
      <formula1>"Gen5,Gen6"</formula1>
    </dataValidation>
    <dataValidation sqref="Q2:Q53" showDropDown="0" showInputMessage="1" showErrorMessage="1" allowBlank="1" type="list">
      <formula1>"pxp1,pxp3,pxp4,pxp9,pxp11,pxp12"</formula1>
    </dataValidation>
    <dataValidation sqref="X2:AF53" showDropDown="0" showInputMessage="1" showErrorMessage="1" allowBlank="1" type="list">
      <formula1>"PASS,FAIL,Block,NA"</formula1>
    </dataValidation>
    <dataValidation sqref="P2:P53" showDropDown="0" showInputMessage="1" showErrorMessage="1" allowBlank="1" type="list">
      <formula1>"CX8,E1.S"</formula1>
    </dataValidation>
    <dataValidation sqref="U2:U53" showDropDown="0" showInputMessage="1" showErrorMessage="1" allowBlank="1" type="list">
      <formula1>"2,3,NA"</formula1>
    </dataValidation>
    <dataValidation sqref="O2:O53" showDropDown="0" showInputMessage="1" showErrorMessage="1" allowBlank="1" type="list">
      <formula1>"x16,x4x4x4x4"</formula1>
    </dataValidation>
    <dataValidation sqref="R2:R53" showDropDown="0" showInputMessage="1" showErrorMessage="1" allowBlank="1" type="list">
      <formula1>"0,2,4,6"</formula1>
    </dataValidation>
  </dataValidations>
  <hyperlinks>
    <hyperlink xmlns:r="http://schemas.openxmlformats.org/officeDocument/2006/relationships" ref="AJ2" r:id="rId1"/>
    <hyperlink xmlns:r="http://schemas.openxmlformats.org/officeDocument/2006/relationships" ref="AJ3" r:id="rId2"/>
    <hyperlink xmlns:r="http://schemas.openxmlformats.org/officeDocument/2006/relationships" ref="AJ4" r:id="rId3"/>
    <hyperlink xmlns:r="http://schemas.openxmlformats.org/officeDocument/2006/relationships" ref="AJ5" r:id="rId4"/>
    <hyperlink xmlns:r="http://schemas.openxmlformats.org/officeDocument/2006/relationships" ref="AJ6" r:id="rId5"/>
    <hyperlink xmlns:r="http://schemas.openxmlformats.org/officeDocument/2006/relationships" ref="AJ7" r:id="rId6"/>
    <hyperlink xmlns:r="http://schemas.openxmlformats.org/officeDocument/2006/relationships" ref="AJ8" r:id="rId7"/>
    <hyperlink xmlns:r="http://schemas.openxmlformats.org/officeDocument/2006/relationships" ref="AJ9" r:id="rId8"/>
    <hyperlink xmlns:r="http://schemas.openxmlformats.org/officeDocument/2006/relationships" ref="AJ10" r:id="rId9"/>
    <hyperlink xmlns:r="http://schemas.openxmlformats.org/officeDocument/2006/relationships" ref="AJ11" r:id="rId10"/>
    <hyperlink xmlns:r="http://schemas.openxmlformats.org/officeDocument/2006/relationships" ref="AJ12" r:id="rId11"/>
    <hyperlink xmlns:r="http://schemas.openxmlformats.org/officeDocument/2006/relationships" ref="AJ13" r:id="rId12"/>
    <hyperlink xmlns:r="http://schemas.openxmlformats.org/officeDocument/2006/relationships" ref="AJ14" r:id="rId13"/>
    <hyperlink xmlns:r="http://schemas.openxmlformats.org/officeDocument/2006/relationships" ref="AJ15" r:id="rId14"/>
    <hyperlink xmlns:r="http://schemas.openxmlformats.org/officeDocument/2006/relationships" ref="AJ16" r:id="rId15"/>
    <hyperlink xmlns:r="http://schemas.openxmlformats.org/officeDocument/2006/relationships" ref="AJ17" r:id="rId16"/>
    <hyperlink xmlns:r="http://schemas.openxmlformats.org/officeDocument/2006/relationships" ref="AJ18" r:id="rId17"/>
    <hyperlink xmlns:r="http://schemas.openxmlformats.org/officeDocument/2006/relationships" ref="AJ19" r:id="rId18"/>
    <hyperlink xmlns:r="http://schemas.openxmlformats.org/officeDocument/2006/relationships" ref="AJ20" r:id="rId19"/>
    <hyperlink xmlns:r="http://schemas.openxmlformats.org/officeDocument/2006/relationships" ref="AJ21" r:id="rId20"/>
    <hyperlink xmlns:r="http://schemas.openxmlformats.org/officeDocument/2006/relationships" ref="AJ22" r:id="rId21"/>
    <hyperlink xmlns:r="http://schemas.openxmlformats.org/officeDocument/2006/relationships" ref="AJ23" r:id="rId22"/>
    <hyperlink xmlns:r="http://schemas.openxmlformats.org/officeDocument/2006/relationships" ref="AJ24" r:id="rId23"/>
    <hyperlink xmlns:r="http://schemas.openxmlformats.org/officeDocument/2006/relationships" ref="AJ25" r:id="rId24"/>
    <hyperlink xmlns:r="http://schemas.openxmlformats.org/officeDocument/2006/relationships" ref="AJ26" r:id="rId25"/>
    <hyperlink xmlns:r="http://schemas.openxmlformats.org/officeDocument/2006/relationships" ref="AJ27" r:id="rId26"/>
    <hyperlink xmlns:r="http://schemas.openxmlformats.org/officeDocument/2006/relationships" ref="AJ28" r:id="rId27"/>
    <hyperlink xmlns:r="http://schemas.openxmlformats.org/officeDocument/2006/relationships" ref="AJ29" r:id="rId28"/>
    <hyperlink xmlns:r="http://schemas.openxmlformats.org/officeDocument/2006/relationships" ref="AJ30" r:id="rId29"/>
    <hyperlink xmlns:r="http://schemas.openxmlformats.org/officeDocument/2006/relationships" ref="AJ31" r:id="rId30"/>
    <hyperlink xmlns:r="http://schemas.openxmlformats.org/officeDocument/2006/relationships" ref="AJ32" r:id="rId31"/>
    <hyperlink xmlns:r="http://schemas.openxmlformats.org/officeDocument/2006/relationships" ref="AJ33" r:id="rId32"/>
    <hyperlink xmlns:r="http://schemas.openxmlformats.org/officeDocument/2006/relationships" ref="AJ34" r:id="rId33"/>
    <hyperlink xmlns:r="http://schemas.openxmlformats.org/officeDocument/2006/relationships" ref="AJ35" r:id="rId34"/>
    <hyperlink xmlns:r="http://schemas.openxmlformats.org/officeDocument/2006/relationships" ref="AJ36" r:id="rId35"/>
    <hyperlink xmlns:r="http://schemas.openxmlformats.org/officeDocument/2006/relationships" ref="AJ37" r:id="rId36"/>
    <hyperlink xmlns:r="http://schemas.openxmlformats.org/officeDocument/2006/relationships" ref="AJ38" r:id="rId37"/>
    <hyperlink xmlns:r="http://schemas.openxmlformats.org/officeDocument/2006/relationships" ref="AJ39" r:id="rId38"/>
    <hyperlink xmlns:r="http://schemas.openxmlformats.org/officeDocument/2006/relationships" ref="AJ40" r:id="rId39"/>
    <hyperlink xmlns:r="http://schemas.openxmlformats.org/officeDocument/2006/relationships" ref="AJ41" r:id="rId40"/>
    <hyperlink xmlns:r="http://schemas.openxmlformats.org/officeDocument/2006/relationships" ref="AJ42" r:id="rId41"/>
    <hyperlink xmlns:r="http://schemas.openxmlformats.org/officeDocument/2006/relationships" ref="AJ43" r:id="rId42"/>
    <hyperlink xmlns:r="http://schemas.openxmlformats.org/officeDocument/2006/relationships" ref="AJ44" r:id="rId43"/>
    <hyperlink xmlns:r="http://schemas.openxmlformats.org/officeDocument/2006/relationships" ref="AJ45" r:id="rId44"/>
    <hyperlink xmlns:r="http://schemas.openxmlformats.org/officeDocument/2006/relationships" ref="AJ46" r:id="rId45"/>
    <hyperlink xmlns:r="http://schemas.openxmlformats.org/officeDocument/2006/relationships" ref="AJ47" r:id="rId46"/>
    <hyperlink xmlns:r="http://schemas.openxmlformats.org/officeDocument/2006/relationships" ref="AJ48" r:id="rId47"/>
    <hyperlink xmlns:r="http://schemas.openxmlformats.org/officeDocument/2006/relationships" ref="AJ49" r:id="rId48"/>
    <hyperlink xmlns:r="http://schemas.openxmlformats.org/officeDocument/2006/relationships" ref="AJ50" r:id="rId49"/>
    <hyperlink xmlns:r="http://schemas.openxmlformats.org/officeDocument/2006/relationships" ref="AJ51" r:id="rId50"/>
    <hyperlink xmlns:r="http://schemas.openxmlformats.org/officeDocument/2006/relationships" ref="AJ52" r:id="rId51"/>
    <hyperlink xmlns:r="http://schemas.openxmlformats.org/officeDocument/2006/relationships" ref="AJ53" r:id="rId52"/>
  </hyperlink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29"/>
  <sheetViews>
    <sheetView zoomScale="85" zoomScaleNormal="85" workbookViewId="0">
      <pane xSplit="7" ySplit="1" topLeftCell="H2" activePane="bottomRight" state="frozen"/>
      <selection pane="topRight" activeCell="F1" sqref="F1"/>
      <selection pane="bottomLeft" activeCell="A2" sqref="A2"/>
      <selection pane="bottomRight" activeCell="U28" sqref="U28"/>
    </sheetView>
  </sheetViews>
  <sheetFormatPr baseColWidth="8" defaultColWidth="8.81640625" defaultRowHeight="14.5"/>
  <cols>
    <col width="6.26953125" customWidth="1" style="11" min="1" max="1"/>
    <col width="6.81640625" customWidth="1" style="11" min="2" max="3"/>
    <col width="16.453125" customWidth="1" style="11" min="4" max="5"/>
    <col width="17.453125" customWidth="1" style="11" min="6" max="6"/>
    <col width="7.1796875" customWidth="1" style="11" min="7" max="9"/>
    <col width="18.08984375" customWidth="1" style="47" min="10" max="10"/>
    <col width="10.1796875" customWidth="1" style="11" min="11" max="11"/>
    <col width="14.26953125" customWidth="1" style="11" min="12" max="12"/>
    <col width="14.26953125" customWidth="1" style="47" min="13" max="13"/>
    <col width="14.26953125" customWidth="1" style="11" min="14" max="15"/>
    <col width="8.81640625" customWidth="1" style="11" min="16" max="17"/>
    <col width="8.81640625" customWidth="1" style="8" min="18" max="22"/>
    <col width="8.81640625" customWidth="1" style="8" min="23" max="16384"/>
  </cols>
  <sheetData>
    <row r="1" ht="29" customHeight="1">
      <c r="A1" s="92" t="inlineStr">
        <is>
          <t>Gen#</t>
        </is>
      </c>
      <c r="B1" s="92" t="inlineStr">
        <is>
          <t>Pxpstr</t>
        </is>
      </c>
      <c r="C1" s="92" t="inlineStr">
        <is>
          <t>Portno</t>
        </is>
      </c>
      <c r="D1" s="92" t="inlineStr">
        <is>
          <t>WO#</t>
        </is>
      </c>
      <c r="E1" s="92" t="n"/>
      <c r="F1" s="92" t="inlineStr">
        <is>
          <t>Test</t>
        </is>
      </c>
      <c r="G1" s="92" t="inlineStr">
        <is>
          <t>Result</t>
        </is>
      </c>
      <c r="H1" s="92" t="n"/>
      <c r="I1" s="92" t="n"/>
      <c r="J1" s="84" t="inlineStr">
        <is>
          <t>Test Duration(mins)</t>
        </is>
      </c>
      <c r="K1" s="92" t="inlineStr">
        <is>
          <t>Max Count</t>
        </is>
      </c>
      <c r="L1" s="92" t="inlineStr">
        <is>
          <t>Link Down</t>
        </is>
      </c>
      <c r="M1" s="92" t="inlineStr">
        <is>
          <t>Recovery</t>
        </is>
      </c>
      <c r="N1" s="92" t="inlineStr">
        <is>
          <t>Speed Degrade</t>
        </is>
      </c>
      <c r="O1" s="92" t="inlineStr">
        <is>
          <t>Width Degrade</t>
        </is>
      </c>
      <c r="P1" s="48" t="inlineStr">
        <is>
          <t>HSD</t>
        </is>
      </c>
      <c r="Q1" s="48" t="inlineStr">
        <is>
          <t>HSD Status</t>
        </is>
      </c>
    </row>
    <row r="2" ht="14.5" customHeight="1">
      <c r="A2" s="106" t="inlineStr">
        <is>
          <t>Gen6</t>
        </is>
      </c>
      <c r="B2" s="68" t="inlineStr">
        <is>
          <t>pxp1</t>
        </is>
      </c>
      <c r="C2" s="108" t="n">
        <v>0</v>
      </c>
      <c r="D2" s="105" t="n"/>
      <c r="E2" s="107" t="inlineStr">
        <is>
          <t>Link L1 Disable</t>
        </is>
      </c>
      <c r="F2" s="117" t="inlineStr">
        <is>
          <t>retrain</t>
        </is>
      </c>
      <c r="G2" s="118" t="inlineStr">
        <is>
          <t>PASS</t>
        </is>
      </c>
      <c r="H2" s="13" t="n"/>
      <c r="I2" s="13" t="n"/>
      <c r="J2" s="119" t="n">
        <v>26.38937218333333</v>
      </c>
      <c r="K2" s="117" t="n">
        <v>1000</v>
      </c>
      <c r="L2" s="118" t="inlineStr">
        <is>
          <t>PASS</t>
        </is>
      </c>
      <c r="M2" s="118" t="inlineStr">
        <is>
          <t>PASS</t>
        </is>
      </c>
      <c r="N2" s="118" t="inlineStr">
        <is>
          <t>PASS</t>
        </is>
      </c>
      <c r="O2" s="118" t="inlineStr">
        <is>
          <t>PASS</t>
        </is>
      </c>
      <c r="P2" s="49" t="n"/>
      <c r="Q2" s="49" t="n"/>
    </row>
    <row r="3">
      <c r="A3" s="93" t="n"/>
      <c r="B3" s="68" t="inlineStr">
        <is>
          <t>pxp1</t>
        </is>
      </c>
      <c r="C3" s="93" t="n"/>
      <c r="D3" s="93" t="n"/>
      <c r="E3" s="93" t="n"/>
      <c r="F3" s="117" t="inlineStr">
        <is>
          <t>speedchange_all</t>
        </is>
      </c>
      <c r="G3" s="118" t="inlineStr">
        <is>
          <t>PASS</t>
        </is>
      </c>
      <c r="H3" s="13" t="n"/>
      <c r="I3" s="13" t="n"/>
      <c r="J3" s="119" t="n">
        <v>141.1802967</v>
      </c>
      <c r="K3" s="117" t="n">
        <v>1000</v>
      </c>
      <c r="L3" s="118" t="inlineStr">
        <is>
          <t>PASS</t>
        </is>
      </c>
      <c r="M3" s="118" t="inlineStr">
        <is>
          <t>PASS</t>
        </is>
      </c>
      <c r="N3" s="118" t="inlineStr">
        <is>
          <t>PASS</t>
        </is>
      </c>
      <c r="O3" s="118" t="inlineStr">
        <is>
          <t>PASS</t>
        </is>
      </c>
      <c r="P3" s="49" t="n"/>
      <c r="Q3" s="49" t="n"/>
    </row>
    <row r="4">
      <c r="A4" s="93" t="n"/>
      <c r="B4" s="68" t="inlineStr">
        <is>
          <t>pxp1</t>
        </is>
      </c>
      <c r="C4" s="93" t="n"/>
      <c r="D4" s="93" t="n"/>
      <c r="E4" s="93" t="n"/>
      <c r="F4" s="117" t="inlineStr">
        <is>
          <t>speedchange_max</t>
        </is>
      </c>
      <c r="G4" s="118" t="inlineStr">
        <is>
          <t>PASS</t>
        </is>
      </c>
      <c r="H4" s="13" t="n"/>
      <c r="I4" s="13" t="n"/>
      <c r="J4" s="119" t="n">
        <v>53.68164143333333</v>
      </c>
      <c r="K4" s="117" t="n">
        <v>1000</v>
      </c>
      <c r="L4" s="118" t="inlineStr">
        <is>
          <t>PASS</t>
        </is>
      </c>
      <c r="M4" s="118" t="inlineStr">
        <is>
          <t>PASS</t>
        </is>
      </c>
      <c r="N4" s="118" t="inlineStr">
        <is>
          <t>PASS</t>
        </is>
      </c>
      <c r="O4" s="118" t="inlineStr">
        <is>
          <t>PASS</t>
        </is>
      </c>
      <c r="P4" s="49" t="n"/>
      <c r="Q4" s="49" t="n"/>
    </row>
    <row r="5">
      <c r="A5" s="93" t="n"/>
      <c r="B5" s="68" t="inlineStr">
        <is>
          <t>pxp1</t>
        </is>
      </c>
      <c r="C5" s="93" t="n"/>
      <c r="D5" s="93" t="n"/>
      <c r="E5" s="93" t="n"/>
      <c r="F5" s="117" t="inlineStr">
        <is>
          <t>txeqredo</t>
        </is>
      </c>
      <c r="G5" s="118" t="inlineStr">
        <is>
          <t>PASS</t>
        </is>
      </c>
      <c r="H5" s="13" t="n"/>
      <c r="I5" s="13" t="n"/>
      <c r="J5" s="119" t="n">
        <v>26.20309356666667</v>
      </c>
      <c r="K5" s="117" t="n">
        <v>1000</v>
      </c>
      <c r="L5" s="118" t="inlineStr">
        <is>
          <t>PASS</t>
        </is>
      </c>
      <c r="M5" s="118" t="inlineStr">
        <is>
          <t>PASS</t>
        </is>
      </c>
      <c r="N5" s="118" t="inlineStr">
        <is>
          <t>PASS</t>
        </is>
      </c>
      <c r="O5" s="118" t="inlineStr">
        <is>
          <t>PASS</t>
        </is>
      </c>
      <c r="P5" s="49" t="n"/>
      <c r="Q5" s="49" t="n"/>
    </row>
    <row r="6">
      <c r="A6" s="93" t="n"/>
      <c r="B6" s="68" t="inlineStr">
        <is>
          <t>pxp1</t>
        </is>
      </c>
      <c r="C6" s="93" t="n"/>
      <c r="D6" s="93" t="n"/>
      <c r="E6" s="93" t="n"/>
      <c r="F6" s="117" t="inlineStr">
        <is>
          <t>pml1</t>
        </is>
      </c>
      <c r="G6" s="118" t="inlineStr">
        <is>
          <t>PASS</t>
        </is>
      </c>
      <c r="H6" s="13" t="n"/>
      <c r="I6" s="13" t="n"/>
      <c r="J6" s="119" t="n">
        <v>28.72483276666667</v>
      </c>
      <c r="K6" s="117" t="n">
        <v>1000</v>
      </c>
      <c r="L6" s="118" t="inlineStr">
        <is>
          <t>PASS</t>
        </is>
      </c>
      <c r="M6" s="118" t="inlineStr">
        <is>
          <t>PASS</t>
        </is>
      </c>
      <c r="N6" s="118" t="inlineStr">
        <is>
          <t>PASS</t>
        </is>
      </c>
      <c r="O6" s="118" t="inlineStr">
        <is>
          <t>PASS</t>
        </is>
      </c>
      <c r="P6" s="49" t="n"/>
      <c r="Q6" s="49" t="n"/>
    </row>
    <row r="7">
      <c r="A7" s="93" t="n"/>
      <c r="B7" s="68" t="inlineStr">
        <is>
          <t>pxp1</t>
        </is>
      </c>
      <c r="C7" s="93" t="n"/>
      <c r="D7" s="93" t="n"/>
      <c r="E7" s="93" t="n"/>
      <c r="F7" s="117" t="inlineStr">
        <is>
          <t>sbr</t>
        </is>
      </c>
      <c r="G7" s="118" t="inlineStr">
        <is>
          <t>PASS</t>
        </is>
      </c>
      <c r="H7" s="13" t="n"/>
      <c r="I7" s="13" t="n"/>
      <c r="J7" s="119" t="n">
        <v>35.24588623333333</v>
      </c>
      <c r="K7" s="117" t="n">
        <v>1000</v>
      </c>
      <c r="L7" s="118" t="inlineStr">
        <is>
          <t>PASS</t>
        </is>
      </c>
      <c r="M7" s="118" t="inlineStr">
        <is>
          <t>PASS</t>
        </is>
      </c>
      <c r="N7" s="118" t="inlineStr">
        <is>
          <t>PASS</t>
        </is>
      </c>
      <c r="O7" s="118" t="inlineStr">
        <is>
          <t>PASS</t>
        </is>
      </c>
      <c r="P7" s="49" t="n"/>
      <c r="Q7" s="49" t="n"/>
    </row>
    <row r="8">
      <c r="A8" s="93" t="n"/>
      <c r="B8" s="68" t="inlineStr">
        <is>
          <t>pxp1</t>
        </is>
      </c>
      <c r="C8" s="93" t="n"/>
      <c r="D8" s="93" t="n"/>
      <c r="E8" s="94" t="n"/>
      <c r="F8" s="117" t="inlineStr">
        <is>
          <t>link_disable</t>
        </is>
      </c>
      <c r="G8" s="120" t="inlineStr">
        <is>
          <t>FAIL</t>
        </is>
      </c>
      <c r="H8" s="13" t="n"/>
      <c r="I8" s="13" t="n"/>
      <c r="J8" s="119" t="n">
        <v>27.19043473333333</v>
      </c>
      <c r="K8" s="117" t="n">
        <v>1000</v>
      </c>
      <c r="L8" s="120" t="inlineStr">
        <is>
          <t>FAIL</t>
        </is>
      </c>
      <c r="M8" s="118" t="inlineStr">
        <is>
          <t>PASS</t>
        </is>
      </c>
      <c r="N8" s="118" t="inlineStr">
        <is>
          <t>PASS</t>
        </is>
      </c>
      <c r="O8" s="118" t="inlineStr">
        <is>
          <t>PASS</t>
        </is>
      </c>
      <c r="P8" s="49" t="n"/>
      <c r="Q8" s="49" t="n"/>
    </row>
    <row r="9">
      <c r="A9" s="94" t="n"/>
      <c r="B9" s="68" t="inlineStr">
        <is>
          <t>pxp1</t>
        </is>
      </c>
      <c r="C9" s="94" t="n"/>
      <c r="D9" s="94" t="n"/>
      <c r="E9" s="50" t="inlineStr">
        <is>
          <t>Link L1 Enable</t>
        </is>
      </c>
      <c r="F9" s="117" t="inlineStr">
        <is>
          <t>pml1</t>
        </is>
      </c>
      <c r="G9" s="118" t="inlineStr">
        <is>
          <t>PASS</t>
        </is>
      </c>
      <c r="H9" s="13" t="n"/>
      <c r="I9" s="13" t="n"/>
      <c r="J9" s="119" t="n">
        <v>36.16245303333334</v>
      </c>
      <c r="K9" s="117" t="n">
        <v>1000</v>
      </c>
      <c r="L9" s="121" t="inlineStr">
        <is>
          <t>NA</t>
        </is>
      </c>
      <c r="M9" s="121" t="inlineStr">
        <is>
          <t>NA</t>
        </is>
      </c>
      <c r="N9" s="121" t="inlineStr">
        <is>
          <t>NA</t>
        </is>
      </c>
      <c r="O9" s="121" t="inlineStr">
        <is>
          <t>NA</t>
        </is>
      </c>
      <c r="P9" s="49" t="n"/>
      <c r="Q9" s="49" t="n"/>
    </row>
    <row r="10" ht="14.5" customHeight="1">
      <c r="A10" s="106" t="inlineStr">
        <is>
          <t>Gen6</t>
        </is>
      </c>
      <c r="B10" s="68" t="inlineStr">
        <is>
          <t>pxp1</t>
        </is>
      </c>
      <c r="C10" s="108" t="n">
        <v>4</v>
      </c>
      <c r="D10" s="105" t="n"/>
      <c r="E10" s="107" t="inlineStr">
        <is>
          <t>Link L1 Disable</t>
        </is>
      </c>
      <c r="F10" s="117" t="inlineStr">
        <is>
          <t>retrain</t>
        </is>
      </c>
      <c r="G10" s="118" t="inlineStr">
        <is>
          <t>PASS</t>
        </is>
      </c>
      <c r="H10" s="13" t="n"/>
      <c r="I10" s="13" t="n"/>
      <c r="J10" s="119" t="n">
        <v>26.42792533333333</v>
      </c>
      <c r="K10" s="117" t="n">
        <v>1000</v>
      </c>
      <c r="L10" s="118" t="inlineStr">
        <is>
          <t>PASS</t>
        </is>
      </c>
      <c r="M10" s="118" t="inlineStr">
        <is>
          <t>PASS</t>
        </is>
      </c>
      <c r="N10" s="118" t="inlineStr">
        <is>
          <t>PASS</t>
        </is>
      </c>
      <c r="O10" s="118" t="inlineStr">
        <is>
          <t>PASS</t>
        </is>
      </c>
      <c r="P10" s="49" t="n"/>
      <c r="Q10" s="49" t="n"/>
    </row>
    <row r="11">
      <c r="A11" s="93" t="n"/>
      <c r="B11" s="68" t="inlineStr">
        <is>
          <t>pxp1</t>
        </is>
      </c>
      <c r="C11" s="93" t="n"/>
      <c r="D11" s="93" t="n"/>
      <c r="E11" s="93" t="n"/>
      <c r="F11" s="117" t="inlineStr">
        <is>
          <t>speedchange_all</t>
        </is>
      </c>
      <c r="G11" s="118" t="inlineStr">
        <is>
          <t>PASS</t>
        </is>
      </c>
      <c r="H11" s="13" t="n"/>
      <c r="I11" s="13" t="n"/>
      <c r="J11" s="119" t="n">
        <v>142.4671561666667</v>
      </c>
      <c r="K11" s="117" t="n">
        <v>1000</v>
      </c>
      <c r="L11" s="118" t="inlineStr">
        <is>
          <t>PASS</t>
        </is>
      </c>
      <c r="M11" s="118" t="inlineStr">
        <is>
          <t>PASS</t>
        </is>
      </c>
      <c r="N11" s="118" t="inlineStr">
        <is>
          <t>PASS</t>
        </is>
      </c>
      <c r="O11" s="118" t="inlineStr">
        <is>
          <t>PASS</t>
        </is>
      </c>
      <c r="P11" s="49" t="n"/>
      <c r="Q11" s="49" t="n"/>
    </row>
    <row r="12">
      <c r="A12" s="93" t="n"/>
      <c r="B12" s="68" t="inlineStr">
        <is>
          <t>pxp1</t>
        </is>
      </c>
      <c r="C12" s="93" t="n"/>
      <c r="D12" s="93" t="n"/>
      <c r="E12" s="93" t="n"/>
      <c r="F12" s="117" t="inlineStr">
        <is>
          <t>speedchange_max</t>
        </is>
      </c>
      <c r="G12" s="118" t="inlineStr">
        <is>
          <t>PASS</t>
        </is>
      </c>
      <c r="H12" s="13" t="n"/>
      <c r="I12" s="13" t="n"/>
      <c r="J12" s="119" t="n">
        <v>54.1865119</v>
      </c>
      <c r="K12" s="117" t="n">
        <v>1000</v>
      </c>
      <c r="L12" s="118" t="inlineStr">
        <is>
          <t>PASS</t>
        </is>
      </c>
      <c r="M12" s="118" t="inlineStr">
        <is>
          <t>PASS</t>
        </is>
      </c>
      <c r="N12" s="118" t="inlineStr">
        <is>
          <t>PASS</t>
        </is>
      </c>
      <c r="O12" s="118" t="inlineStr">
        <is>
          <t>PASS</t>
        </is>
      </c>
      <c r="P12" s="49" t="n"/>
      <c r="Q12" s="49" t="n"/>
    </row>
    <row r="13">
      <c r="A13" s="93" t="n"/>
      <c r="B13" s="68" t="inlineStr">
        <is>
          <t>pxp1</t>
        </is>
      </c>
      <c r="C13" s="93" t="n"/>
      <c r="D13" s="93" t="n"/>
      <c r="E13" s="93" t="n"/>
      <c r="F13" s="117" t="inlineStr">
        <is>
          <t>txeqredo</t>
        </is>
      </c>
      <c r="G13" s="118" t="inlineStr">
        <is>
          <t>PASS</t>
        </is>
      </c>
      <c r="H13" s="13" t="n"/>
      <c r="I13" s="13" t="n"/>
      <c r="J13" s="119" t="n">
        <v>26.40218328333333</v>
      </c>
      <c r="K13" s="117" t="n">
        <v>1000</v>
      </c>
      <c r="L13" s="118" t="inlineStr">
        <is>
          <t>PASS</t>
        </is>
      </c>
      <c r="M13" s="118" t="inlineStr">
        <is>
          <t>PASS</t>
        </is>
      </c>
      <c r="N13" s="118" t="inlineStr">
        <is>
          <t>PASS</t>
        </is>
      </c>
      <c r="O13" s="118" t="inlineStr">
        <is>
          <t>PASS</t>
        </is>
      </c>
      <c r="P13" s="49" t="n"/>
      <c r="Q13" s="49" t="n"/>
    </row>
    <row r="14">
      <c r="A14" s="93" t="n"/>
      <c r="B14" s="68" t="inlineStr">
        <is>
          <t>pxp1</t>
        </is>
      </c>
      <c r="C14" s="93" t="n"/>
      <c r="D14" s="93" t="n"/>
      <c r="E14" s="93" t="n"/>
      <c r="F14" s="117" t="inlineStr">
        <is>
          <t>pml1</t>
        </is>
      </c>
      <c r="G14" s="118" t="inlineStr">
        <is>
          <t>PASS</t>
        </is>
      </c>
      <c r="H14" s="13" t="n"/>
      <c r="I14" s="13" t="n"/>
      <c r="J14" s="119" t="n">
        <v>28.7120536</v>
      </c>
      <c r="K14" s="117" t="n">
        <v>1000</v>
      </c>
      <c r="L14" s="118" t="inlineStr">
        <is>
          <t>PASS</t>
        </is>
      </c>
      <c r="M14" s="118" t="inlineStr">
        <is>
          <t>PASS</t>
        </is>
      </c>
      <c r="N14" s="118" t="inlineStr">
        <is>
          <t>PASS</t>
        </is>
      </c>
      <c r="O14" s="118" t="inlineStr">
        <is>
          <t>PASS</t>
        </is>
      </c>
      <c r="P14" s="49" t="n"/>
      <c r="Q14" s="49" t="n"/>
    </row>
    <row r="15">
      <c r="A15" s="93" t="n"/>
      <c r="B15" s="68" t="inlineStr">
        <is>
          <t>pxp1</t>
        </is>
      </c>
      <c r="C15" s="93" t="n"/>
      <c r="D15" s="93" t="n"/>
      <c r="E15" s="93" t="n"/>
      <c r="F15" s="117" t="inlineStr">
        <is>
          <t>sbr</t>
        </is>
      </c>
      <c r="G15" s="118" t="inlineStr">
        <is>
          <t>PASS</t>
        </is>
      </c>
      <c r="H15" s="13" t="n"/>
      <c r="I15" s="13" t="n"/>
      <c r="J15" s="119" t="n">
        <v>35.31473091666667</v>
      </c>
      <c r="K15" s="117" t="n">
        <v>1000</v>
      </c>
      <c r="L15" s="118" t="inlineStr">
        <is>
          <t>PASS</t>
        </is>
      </c>
      <c r="M15" s="118" t="inlineStr">
        <is>
          <t>PASS</t>
        </is>
      </c>
      <c r="N15" s="118" t="inlineStr">
        <is>
          <t>PASS</t>
        </is>
      </c>
      <c r="O15" s="118" t="inlineStr">
        <is>
          <t>PASS</t>
        </is>
      </c>
      <c r="P15" s="49" t="n"/>
      <c r="Q15" s="49" t="n"/>
    </row>
    <row r="16">
      <c r="A16" s="93" t="n"/>
      <c r="B16" s="68" t="inlineStr">
        <is>
          <t>pxp1</t>
        </is>
      </c>
      <c r="C16" s="93" t="n"/>
      <c r="D16" s="93" t="n"/>
      <c r="E16" s="94" t="n"/>
      <c r="F16" s="117" t="inlineStr">
        <is>
          <t>link_disable</t>
        </is>
      </c>
      <c r="G16" s="120" t="inlineStr">
        <is>
          <t>FAIL</t>
        </is>
      </c>
      <c r="H16" s="13" t="n"/>
      <c r="I16" s="13" t="n"/>
      <c r="J16" s="119" t="n">
        <v>27.12383785</v>
      </c>
      <c r="K16" s="117" t="n">
        <v>1000</v>
      </c>
      <c r="L16" s="120" t="inlineStr">
        <is>
          <t>FAIL</t>
        </is>
      </c>
      <c r="M16" s="118" t="inlineStr">
        <is>
          <t>PASS</t>
        </is>
      </c>
      <c r="N16" s="118" t="inlineStr">
        <is>
          <t>PASS</t>
        </is>
      </c>
      <c r="O16" s="118" t="inlineStr">
        <is>
          <t>PASS</t>
        </is>
      </c>
      <c r="P16" s="49" t="n"/>
      <c r="Q16" s="49" t="n"/>
    </row>
    <row r="17">
      <c r="A17" s="94" t="n"/>
      <c r="B17" s="68" t="inlineStr">
        <is>
          <t>pxp1</t>
        </is>
      </c>
      <c r="C17" s="94" t="n"/>
      <c r="D17" s="94" t="n"/>
      <c r="E17" s="50" t="inlineStr">
        <is>
          <t>Link L1 Enable</t>
        </is>
      </c>
      <c r="F17" s="117" t="inlineStr">
        <is>
          <t>pml1</t>
        </is>
      </c>
      <c r="G17" s="118" t="inlineStr">
        <is>
          <t>PASS</t>
        </is>
      </c>
      <c r="H17" s="13" t="n"/>
      <c r="I17" s="13" t="n"/>
      <c r="J17" s="119" t="n">
        <v>36.10710368333334</v>
      </c>
      <c r="K17" s="117" t="n">
        <v>1000</v>
      </c>
      <c r="L17" s="121" t="inlineStr">
        <is>
          <t>NA</t>
        </is>
      </c>
      <c r="M17" s="121" t="inlineStr">
        <is>
          <t>NA</t>
        </is>
      </c>
      <c r="N17" s="121" t="inlineStr">
        <is>
          <t>NA</t>
        </is>
      </c>
      <c r="O17" s="121" t="inlineStr">
        <is>
          <t>NA</t>
        </is>
      </c>
      <c r="P17" s="49" t="n"/>
      <c r="Q17" s="49" t="n"/>
    </row>
    <row r="18" ht="14.5" customHeight="1">
      <c r="A18" s="106" t="inlineStr">
        <is>
          <t>Gen6</t>
        </is>
      </c>
      <c r="B18" s="68" t="inlineStr">
        <is>
          <t>pxp3</t>
        </is>
      </c>
      <c r="C18" s="108" t="n">
        <v>0</v>
      </c>
      <c r="D18" s="105" t="n"/>
      <c r="E18" s="107" t="inlineStr">
        <is>
          <t>Link L1 Disable</t>
        </is>
      </c>
      <c r="F18" s="117" t="inlineStr">
        <is>
          <t>retrain</t>
        </is>
      </c>
      <c r="G18" s="118" t="inlineStr">
        <is>
          <t>PASS</t>
        </is>
      </c>
      <c r="H18" s="13" t="n"/>
      <c r="I18" s="13" t="n"/>
      <c r="J18" s="119" t="n">
        <v>30.0561835</v>
      </c>
      <c r="K18" s="117" t="n">
        <v>1000</v>
      </c>
      <c r="L18" s="118" t="inlineStr">
        <is>
          <t>PASS</t>
        </is>
      </c>
      <c r="M18" s="118" t="inlineStr">
        <is>
          <t>PASS</t>
        </is>
      </c>
      <c r="N18" s="118" t="inlineStr">
        <is>
          <t>PASS</t>
        </is>
      </c>
      <c r="O18" s="118" t="inlineStr">
        <is>
          <t>PASS</t>
        </is>
      </c>
      <c r="P18" s="49" t="n"/>
      <c r="Q18" s="49" t="n"/>
    </row>
    <row r="19">
      <c r="A19" s="93" t="n"/>
      <c r="B19" s="68" t="inlineStr">
        <is>
          <t>pxp3</t>
        </is>
      </c>
      <c r="C19" s="93" t="n"/>
      <c r="D19" s="93" t="n"/>
      <c r="E19" s="93" t="n"/>
      <c r="F19" s="117" t="inlineStr">
        <is>
          <t>speedchange_all</t>
        </is>
      </c>
      <c r="G19" s="118" t="inlineStr">
        <is>
          <t>PASS</t>
        </is>
      </c>
      <c r="H19" s="13" t="n"/>
      <c r="I19" s="13" t="n"/>
      <c r="J19" s="119" t="n">
        <v>163.4005602166667</v>
      </c>
      <c r="K19" s="117" t="n">
        <v>1000</v>
      </c>
      <c r="L19" s="118" t="inlineStr">
        <is>
          <t>PASS</t>
        </is>
      </c>
      <c r="M19" s="118" t="inlineStr">
        <is>
          <t>PASS</t>
        </is>
      </c>
      <c r="N19" s="118" t="inlineStr">
        <is>
          <t>PASS</t>
        </is>
      </c>
      <c r="O19" s="118" t="inlineStr">
        <is>
          <t>PASS</t>
        </is>
      </c>
      <c r="P19" s="49" t="n"/>
      <c r="Q19" s="49" t="n"/>
    </row>
    <row r="20">
      <c r="A20" s="93" t="n"/>
      <c r="B20" s="68" t="inlineStr">
        <is>
          <t>pxp3</t>
        </is>
      </c>
      <c r="C20" s="93" t="n"/>
      <c r="D20" s="93" t="n"/>
      <c r="E20" s="93" t="n"/>
      <c r="F20" s="117" t="inlineStr">
        <is>
          <t>speedchange_max</t>
        </is>
      </c>
      <c r="G20" s="118" t="inlineStr">
        <is>
          <t>PASS</t>
        </is>
      </c>
      <c r="H20" s="13" t="n"/>
      <c r="I20" s="13" t="n"/>
      <c r="J20" s="119" t="n">
        <v>60.23585128333333</v>
      </c>
      <c r="K20" s="117" t="n">
        <v>1000</v>
      </c>
      <c r="L20" s="118" t="inlineStr">
        <is>
          <t>PASS</t>
        </is>
      </c>
      <c r="M20" s="118" t="inlineStr">
        <is>
          <t>PASS</t>
        </is>
      </c>
      <c r="N20" s="118" t="inlineStr">
        <is>
          <t>PASS</t>
        </is>
      </c>
      <c r="O20" s="118" t="inlineStr">
        <is>
          <t>PASS</t>
        </is>
      </c>
      <c r="P20" s="49" t="n"/>
      <c r="Q20" s="49" t="n"/>
    </row>
    <row r="21">
      <c r="A21" s="93" t="n"/>
      <c r="B21" s="68" t="inlineStr">
        <is>
          <t>pxp3</t>
        </is>
      </c>
      <c r="C21" s="93" t="n"/>
      <c r="D21" s="93" t="n"/>
      <c r="E21" s="93" t="n"/>
      <c r="F21" s="117" t="inlineStr">
        <is>
          <t>txeqredo</t>
        </is>
      </c>
      <c r="G21" s="118" t="inlineStr">
        <is>
          <t>PASS</t>
        </is>
      </c>
      <c r="H21" s="13" t="n"/>
      <c r="I21" s="13" t="n"/>
      <c r="J21" s="119" t="n">
        <v>32.28579435</v>
      </c>
      <c r="K21" s="117" t="n">
        <v>1000</v>
      </c>
      <c r="L21" s="118" t="inlineStr">
        <is>
          <t>PASS</t>
        </is>
      </c>
      <c r="M21" s="118" t="inlineStr">
        <is>
          <t>PASS</t>
        </is>
      </c>
      <c r="N21" s="118" t="inlineStr">
        <is>
          <t>PASS</t>
        </is>
      </c>
      <c r="O21" s="118" t="inlineStr">
        <is>
          <t>PASS</t>
        </is>
      </c>
      <c r="P21" s="49" t="n"/>
      <c r="Q21" s="49" t="n"/>
    </row>
    <row r="22">
      <c r="A22" s="93" t="n"/>
      <c r="B22" s="68" t="inlineStr">
        <is>
          <t>pxp3</t>
        </is>
      </c>
      <c r="C22" s="93" t="n"/>
      <c r="D22" s="93" t="n"/>
      <c r="E22" s="93" t="n"/>
      <c r="F22" s="117" t="inlineStr">
        <is>
          <t>pml1</t>
        </is>
      </c>
      <c r="G22" s="118" t="inlineStr">
        <is>
          <t>PASS</t>
        </is>
      </c>
      <c r="H22" s="13" t="n"/>
      <c r="I22" s="13" t="n"/>
      <c r="J22" s="119" t="n">
        <v>34.60574728333334</v>
      </c>
      <c r="K22" s="117" t="n">
        <v>1000</v>
      </c>
      <c r="L22" s="118" t="inlineStr">
        <is>
          <t>PASS</t>
        </is>
      </c>
      <c r="M22" s="118" t="inlineStr">
        <is>
          <t>PASS</t>
        </is>
      </c>
      <c r="N22" s="118" t="inlineStr">
        <is>
          <t>PASS</t>
        </is>
      </c>
      <c r="O22" s="118" t="inlineStr">
        <is>
          <t>PASS</t>
        </is>
      </c>
      <c r="P22" s="49" t="n"/>
      <c r="Q22" s="49" t="n"/>
    </row>
    <row r="23">
      <c r="A23" s="93" t="n"/>
      <c r="B23" s="68" t="inlineStr">
        <is>
          <t>pxp3</t>
        </is>
      </c>
      <c r="C23" s="93" t="n"/>
      <c r="D23" s="93" t="n"/>
      <c r="E23" s="93" t="n"/>
      <c r="F23" s="117" t="inlineStr">
        <is>
          <t>sbr</t>
        </is>
      </c>
      <c r="G23" s="118" t="inlineStr">
        <is>
          <t>PASS</t>
        </is>
      </c>
      <c r="H23" s="13" t="n"/>
      <c r="I23" s="13" t="n"/>
      <c r="J23" s="119" t="n">
        <v>41.41727330000001</v>
      </c>
      <c r="K23" s="117" t="n">
        <v>1000</v>
      </c>
      <c r="L23" s="118" t="inlineStr">
        <is>
          <t>PASS</t>
        </is>
      </c>
      <c r="M23" s="118" t="inlineStr">
        <is>
          <t>PASS</t>
        </is>
      </c>
      <c r="N23" s="118" t="inlineStr">
        <is>
          <t>PASS</t>
        </is>
      </c>
      <c r="O23" s="118" t="inlineStr">
        <is>
          <t>PASS</t>
        </is>
      </c>
      <c r="P23" s="49" t="n"/>
      <c r="Q23" s="49" t="n"/>
    </row>
    <row r="24">
      <c r="A24" s="93" t="n"/>
      <c r="B24" s="68" t="inlineStr">
        <is>
          <t>pxp3</t>
        </is>
      </c>
      <c r="C24" s="93" t="n"/>
      <c r="D24" s="93" t="n"/>
      <c r="E24" s="94" t="n"/>
      <c r="F24" s="117" t="inlineStr">
        <is>
          <t>link_disable</t>
        </is>
      </c>
      <c r="G24" s="118" t="inlineStr">
        <is>
          <t>PASS</t>
        </is>
      </c>
      <c r="H24" s="13" t="n"/>
      <c r="I24" s="13" t="n"/>
      <c r="J24" s="119" t="n">
        <v>33.60762801666667</v>
      </c>
      <c r="K24" s="117" t="n">
        <v>1000</v>
      </c>
      <c r="L24" s="118" t="inlineStr">
        <is>
          <t>PASS</t>
        </is>
      </c>
      <c r="M24" s="118" t="inlineStr">
        <is>
          <t>PASS</t>
        </is>
      </c>
      <c r="N24" s="118" t="inlineStr">
        <is>
          <t>PASS</t>
        </is>
      </c>
      <c r="O24" s="118" t="inlineStr">
        <is>
          <t>PASS</t>
        </is>
      </c>
      <c r="P24" s="49" t="n"/>
      <c r="Q24" s="49" t="n"/>
    </row>
    <row r="25">
      <c r="A25" s="94" t="n"/>
      <c r="B25" s="68" t="inlineStr">
        <is>
          <t>pxp3</t>
        </is>
      </c>
      <c r="C25" s="94" t="n"/>
      <c r="D25" s="94" t="n"/>
      <c r="E25" s="50" t="inlineStr">
        <is>
          <t>Link L1 Enable</t>
        </is>
      </c>
      <c r="F25" s="117" t="inlineStr">
        <is>
          <t>pml1</t>
        </is>
      </c>
      <c r="G25" s="118" t="inlineStr">
        <is>
          <t>PASS</t>
        </is>
      </c>
      <c r="H25" s="13" t="n"/>
      <c r="I25" s="13" t="n"/>
      <c r="J25" s="119" t="n">
        <v>40.56067355</v>
      </c>
      <c r="K25" s="117" t="n">
        <v>1000</v>
      </c>
      <c r="L25" s="121" t="inlineStr">
        <is>
          <t>NA</t>
        </is>
      </c>
      <c r="M25" s="121" t="inlineStr">
        <is>
          <t>NA</t>
        </is>
      </c>
      <c r="N25" s="121" t="inlineStr">
        <is>
          <t>NA</t>
        </is>
      </c>
      <c r="O25" s="121" t="inlineStr">
        <is>
          <t>NA</t>
        </is>
      </c>
      <c r="P25" s="49" t="n"/>
      <c r="Q25" s="49" t="n"/>
    </row>
    <row r="26">
      <c r="A26" s="106" t="inlineStr">
        <is>
          <t>Gen6</t>
        </is>
      </c>
      <c r="B26" s="68" t="inlineStr">
        <is>
          <t>pxp4</t>
        </is>
      </c>
      <c r="C26" s="108" t="n">
        <v>0</v>
      </c>
      <c r="D26" s="105" t="n"/>
      <c r="E26" s="107" t="inlineStr">
        <is>
          <t>Link L1 Disable</t>
        </is>
      </c>
      <c r="F26" s="117" t="inlineStr">
        <is>
          <t>retrain</t>
        </is>
      </c>
      <c r="G26" s="118" t="inlineStr">
        <is>
          <t>PASS</t>
        </is>
      </c>
      <c r="H26" s="13" t="n"/>
      <c r="I26" s="13" t="n"/>
      <c r="J26" s="119" t="n">
        <v>26.37471323333333</v>
      </c>
      <c r="K26" s="117" t="n">
        <v>1000</v>
      </c>
      <c r="L26" s="118" t="inlineStr">
        <is>
          <t>PASS</t>
        </is>
      </c>
      <c r="M26" s="118" t="inlineStr">
        <is>
          <t>PASS</t>
        </is>
      </c>
      <c r="N26" s="118" t="inlineStr">
        <is>
          <t>PASS</t>
        </is>
      </c>
      <c r="O26" s="118" t="inlineStr">
        <is>
          <t>PASS</t>
        </is>
      </c>
      <c r="P26" s="49" t="n"/>
      <c r="Q26" s="49" t="n"/>
    </row>
    <row r="27">
      <c r="A27" s="93" t="n"/>
      <c r="B27" s="68" t="inlineStr">
        <is>
          <t>pxp4</t>
        </is>
      </c>
      <c r="C27" s="93" t="n"/>
      <c r="D27" s="93" t="n"/>
      <c r="E27" s="93" t="n"/>
      <c r="F27" s="117" t="inlineStr">
        <is>
          <t>speedchange_all</t>
        </is>
      </c>
      <c r="G27" s="118" t="inlineStr">
        <is>
          <t>PASS</t>
        </is>
      </c>
      <c r="H27" s="13" t="n"/>
      <c r="I27" s="13" t="n"/>
      <c r="J27" s="119" t="n">
        <v>141.2808114166667</v>
      </c>
      <c r="K27" s="117" t="n">
        <v>1000</v>
      </c>
      <c r="L27" s="118" t="inlineStr">
        <is>
          <t>PASS</t>
        </is>
      </c>
      <c r="M27" s="118" t="inlineStr">
        <is>
          <t>PASS</t>
        </is>
      </c>
      <c r="N27" s="118" t="inlineStr">
        <is>
          <t>PASS</t>
        </is>
      </c>
      <c r="O27" s="118" t="inlineStr">
        <is>
          <t>PASS</t>
        </is>
      </c>
      <c r="P27" s="49" t="n"/>
      <c r="Q27" s="49" t="n"/>
    </row>
    <row r="28">
      <c r="A28" s="93" t="n"/>
      <c r="B28" s="68" t="inlineStr">
        <is>
          <t>pxp4</t>
        </is>
      </c>
      <c r="C28" s="93" t="n"/>
      <c r="D28" s="93" t="n"/>
      <c r="E28" s="93" t="n"/>
      <c r="F28" s="117" t="inlineStr">
        <is>
          <t>speedchange_max</t>
        </is>
      </c>
      <c r="G28" s="118" t="inlineStr">
        <is>
          <t>PASS</t>
        </is>
      </c>
      <c r="H28" s="13" t="n"/>
      <c r="I28" s="13" t="n"/>
      <c r="J28" s="119" t="n">
        <v>54.0601482</v>
      </c>
      <c r="K28" s="117" t="n">
        <v>1000</v>
      </c>
      <c r="L28" s="118" t="inlineStr">
        <is>
          <t>PASS</t>
        </is>
      </c>
      <c r="M28" s="118" t="inlineStr">
        <is>
          <t>PASS</t>
        </is>
      </c>
      <c r="N28" s="118" t="inlineStr">
        <is>
          <t>PASS</t>
        </is>
      </c>
      <c r="O28" s="118" t="inlineStr">
        <is>
          <t>PASS</t>
        </is>
      </c>
      <c r="P28" s="49" t="n"/>
      <c r="Q28" s="49" t="n"/>
    </row>
    <row r="29">
      <c r="A29" s="93" t="n"/>
      <c r="B29" s="68" t="inlineStr">
        <is>
          <t>pxp4</t>
        </is>
      </c>
      <c r="C29" s="93" t="n"/>
      <c r="D29" s="93" t="n"/>
      <c r="E29" s="93" t="n"/>
      <c r="F29" s="117" t="inlineStr">
        <is>
          <t>txeqredo</t>
        </is>
      </c>
      <c r="G29" s="118" t="inlineStr">
        <is>
          <t>PASS</t>
        </is>
      </c>
      <c r="H29" s="13" t="n"/>
      <c r="I29" s="13" t="n"/>
      <c r="J29" s="119" t="n">
        <v>26.3502044</v>
      </c>
      <c r="K29" s="117" t="n">
        <v>1000</v>
      </c>
      <c r="L29" s="118" t="inlineStr">
        <is>
          <t>PASS</t>
        </is>
      </c>
      <c r="M29" s="118" t="inlineStr">
        <is>
          <t>PASS</t>
        </is>
      </c>
      <c r="N29" s="118" t="inlineStr">
        <is>
          <t>PASS</t>
        </is>
      </c>
      <c r="O29" s="118" t="inlineStr">
        <is>
          <t>PASS</t>
        </is>
      </c>
      <c r="P29" s="49" t="n"/>
      <c r="Q29" s="49" t="n"/>
    </row>
    <row r="30">
      <c r="A30" s="93" t="n"/>
      <c r="B30" s="68" t="inlineStr">
        <is>
          <t>pxp4</t>
        </is>
      </c>
      <c r="C30" s="93" t="n"/>
      <c r="D30" s="93" t="n"/>
      <c r="E30" s="93" t="n"/>
      <c r="F30" s="117" t="inlineStr">
        <is>
          <t>pml1</t>
        </is>
      </c>
      <c r="G30" s="118" t="inlineStr">
        <is>
          <t>PASS</t>
        </is>
      </c>
      <c r="H30" s="13" t="n"/>
      <c r="I30" s="13" t="n"/>
      <c r="J30" s="119" t="n">
        <v>28.94260518333333</v>
      </c>
      <c r="K30" s="117" t="n">
        <v>1000</v>
      </c>
      <c r="L30" s="118" t="inlineStr">
        <is>
          <t>PASS</t>
        </is>
      </c>
      <c r="M30" s="118" t="inlineStr">
        <is>
          <t>PASS</t>
        </is>
      </c>
      <c r="N30" s="118" t="inlineStr">
        <is>
          <t>PASS</t>
        </is>
      </c>
      <c r="O30" s="118" t="inlineStr">
        <is>
          <t>PASS</t>
        </is>
      </c>
      <c r="P30" s="49" t="n"/>
      <c r="Q30" s="49" t="n"/>
    </row>
    <row r="31">
      <c r="A31" s="93" t="n"/>
      <c r="B31" s="68" t="inlineStr">
        <is>
          <t>pxp4</t>
        </is>
      </c>
      <c r="C31" s="93" t="n"/>
      <c r="D31" s="93" t="n"/>
      <c r="E31" s="93" t="n"/>
      <c r="F31" s="117" t="inlineStr">
        <is>
          <t>sbr</t>
        </is>
      </c>
      <c r="G31" s="118" t="inlineStr">
        <is>
          <t>PASS</t>
        </is>
      </c>
      <c r="H31" s="13" t="n"/>
      <c r="I31" s="13" t="n"/>
      <c r="J31" s="119" t="n">
        <v>35.37685491666667</v>
      </c>
      <c r="K31" s="117" t="n">
        <v>1000</v>
      </c>
      <c r="L31" s="118" t="inlineStr">
        <is>
          <t>PASS</t>
        </is>
      </c>
      <c r="M31" s="118" t="inlineStr">
        <is>
          <t>PASS</t>
        </is>
      </c>
      <c r="N31" s="118" t="inlineStr">
        <is>
          <t>PASS</t>
        </is>
      </c>
      <c r="O31" s="118" t="inlineStr">
        <is>
          <t>PASS</t>
        </is>
      </c>
      <c r="P31" s="49" t="n"/>
      <c r="Q31" s="49" t="n"/>
    </row>
    <row r="32">
      <c r="A32" s="93" t="n"/>
      <c r="B32" s="68" t="inlineStr">
        <is>
          <t>pxp4</t>
        </is>
      </c>
      <c r="C32" s="93" t="n"/>
      <c r="D32" s="93" t="n"/>
      <c r="E32" s="94" t="n"/>
      <c r="F32" s="117" t="inlineStr">
        <is>
          <t>link_disable</t>
        </is>
      </c>
      <c r="G32" s="120" t="inlineStr">
        <is>
          <t>FAIL</t>
        </is>
      </c>
      <c r="H32" s="13" t="n"/>
      <c r="I32" s="13" t="n"/>
      <c r="J32" s="119" t="n">
        <v>27.2893548</v>
      </c>
      <c r="K32" s="117" t="n">
        <v>1000</v>
      </c>
      <c r="L32" s="120" t="inlineStr">
        <is>
          <t>FAIL</t>
        </is>
      </c>
      <c r="M32" s="118" t="inlineStr">
        <is>
          <t>PASS</t>
        </is>
      </c>
      <c r="N32" s="118" t="inlineStr">
        <is>
          <t>PASS</t>
        </is>
      </c>
      <c r="O32" s="118" t="inlineStr">
        <is>
          <t>PASS</t>
        </is>
      </c>
      <c r="P32" s="49" t="n"/>
      <c r="Q32" s="49" t="n"/>
    </row>
    <row r="33">
      <c r="A33" s="94" t="n"/>
      <c r="B33" s="68" t="inlineStr">
        <is>
          <t>pxp4</t>
        </is>
      </c>
      <c r="C33" s="94" t="n"/>
      <c r="D33" s="94" t="n"/>
      <c r="E33" s="50" t="inlineStr">
        <is>
          <t>Link L1 Enable</t>
        </is>
      </c>
      <c r="F33" s="117" t="inlineStr">
        <is>
          <t>pml1</t>
        </is>
      </c>
      <c r="G33" s="118" t="inlineStr">
        <is>
          <t>PASS</t>
        </is>
      </c>
      <c r="H33" s="13" t="n"/>
      <c r="I33" s="13" t="n"/>
      <c r="J33" s="119" t="n">
        <v>36.60641563333333</v>
      </c>
      <c r="K33" s="117" t="n">
        <v>1000</v>
      </c>
      <c r="L33" s="121" t="inlineStr">
        <is>
          <t>NA</t>
        </is>
      </c>
      <c r="M33" s="121" t="inlineStr">
        <is>
          <t>NA</t>
        </is>
      </c>
      <c r="N33" s="121" t="inlineStr">
        <is>
          <t>NA</t>
        </is>
      </c>
      <c r="O33" s="121" t="inlineStr">
        <is>
          <t>NA</t>
        </is>
      </c>
      <c r="P33" s="49" t="n"/>
      <c r="Q33" s="49" t="n"/>
    </row>
    <row r="34">
      <c r="A34" s="106" t="inlineStr">
        <is>
          <t>Gen6</t>
        </is>
      </c>
      <c r="B34" s="68" t="inlineStr">
        <is>
          <t>pxp4</t>
        </is>
      </c>
      <c r="C34" s="108" t="n">
        <v>4</v>
      </c>
      <c r="D34" s="105" t="n"/>
      <c r="E34" s="107" t="inlineStr">
        <is>
          <t>Link L1 Disable</t>
        </is>
      </c>
      <c r="F34" s="117" t="inlineStr">
        <is>
          <t>retrain</t>
        </is>
      </c>
      <c r="G34" s="118" t="inlineStr">
        <is>
          <t>PASS</t>
        </is>
      </c>
      <c r="H34" s="13" t="n"/>
      <c r="I34" s="13" t="n"/>
      <c r="J34" s="119" t="n">
        <v>26.2764999</v>
      </c>
      <c r="K34" s="117" t="n">
        <v>1000</v>
      </c>
      <c r="L34" s="118" t="inlineStr">
        <is>
          <t>PASS</t>
        </is>
      </c>
      <c r="M34" s="118" t="inlineStr">
        <is>
          <t>PASS</t>
        </is>
      </c>
      <c r="N34" s="118" t="inlineStr">
        <is>
          <t>PASS</t>
        </is>
      </c>
      <c r="O34" s="118" t="inlineStr">
        <is>
          <t>PASS</t>
        </is>
      </c>
      <c r="P34" s="49" t="n"/>
      <c r="Q34" s="49" t="n"/>
    </row>
    <row r="35">
      <c r="A35" s="93" t="n"/>
      <c r="B35" s="68" t="inlineStr">
        <is>
          <t>pxp4</t>
        </is>
      </c>
      <c r="C35" s="93" t="n"/>
      <c r="D35" s="93" t="n"/>
      <c r="E35" s="93" t="n"/>
      <c r="F35" s="117" t="inlineStr">
        <is>
          <t>speedchange_all</t>
        </is>
      </c>
      <c r="G35" s="118" t="inlineStr">
        <is>
          <t>PASS</t>
        </is>
      </c>
      <c r="H35" s="13" t="n"/>
      <c r="I35" s="13" t="n"/>
      <c r="J35" s="119" t="n">
        <v>140.5657065333334</v>
      </c>
      <c r="K35" s="117" t="n">
        <v>1000</v>
      </c>
      <c r="L35" s="118" t="inlineStr">
        <is>
          <t>PASS</t>
        </is>
      </c>
      <c r="M35" s="118" t="inlineStr">
        <is>
          <t>PASS</t>
        </is>
      </c>
      <c r="N35" s="118" t="inlineStr">
        <is>
          <t>PASS</t>
        </is>
      </c>
      <c r="O35" s="118" t="inlineStr">
        <is>
          <t>PASS</t>
        </is>
      </c>
      <c r="P35" s="49" t="n"/>
      <c r="Q35" s="49" t="n"/>
    </row>
    <row r="36">
      <c r="A36" s="93" t="n"/>
      <c r="B36" s="68" t="inlineStr">
        <is>
          <t>pxp4</t>
        </is>
      </c>
      <c r="C36" s="93" t="n"/>
      <c r="D36" s="93" t="n"/>
      <c r="E36" s="93" t="n"/>
      <c r="F36" s="117" t="inlineStr">
        <is>
          <t>speedchange_max</t>
        </is>
      </c>
      <c r="G36" s="118" t="inlineStr">
        <is>
          <t>PASS</t>
        </is>
      </c>
      <c r="H36" s="13" t="n"/>
      <c r="I36" s="13" t="n"/>
      <c r="J36" s="119" t="n">
        <v>53.90912290000001</v>
      </c>
      <c r="K36" s="117" t="n">
        <v>1000</v>
      </c>
      <c r="L36" s="118" t="inlineStr">
        <is>
          <t>PASS</t>
        </is>
      </c>
      <c r="M36" s="118" t="inlineStr">
        <is>
          <t>PASS</t>
        </is>
      </c>
      <c r="N36" s="118" t="inlineStr">
        <is>
          <t>PASS</t>
        </is>
      </c>
      <c r="O36" s="118" t="inlineStr">
        <is>
          <t>PASS</t>
        </is>
      </c>
      <c r="P36" s="49" t="n"/>
      <c r="Q36" s="49" t="n"/>
    </row>
    <row r="37">
      <c r="A37" s="93" t="n"/>
      <c r="B37" s="68" t="inlineStr">
        <is>
          <t>pxp4</t>
        </is>
      </c>
      <c r="C37" s="93" t="n"/>
      <c r="D37" s="93" t="n"/>
      <c r="E37" s="93" t="n"/>
      <c r="F37" s="117" t="inlineStr">
        <is>
          <t>txeqredo</t>
        </is>
      </c>
      <c r="G37" s="118" t="inlineStr">
        <is>
          <t>PASS</t>
        </is>
      </c>
      <c r="H37" s="13" t="n"/>
      <c r="I37" s="13" t="n"/>
      <c r="J37" s="119" t="n">
        <v>26.07440845</v>
      </c>
      <c r="K37" s="117" t="n">
        <v>1000</v>
      </c>
      <c r="L37" s="118" t="inlineStr">
        <is>
          <t>PASS</t>
        </is>
      </c>
      <c r="M37" s="118" t="inlineStr">
        <is>
          <t>PASS</t>
        </is>
      </c>
      <c r="N37" s="118" t="inlineStr">
        <is>
          <t>PASS</t>
        </is>
      </c>
      <c r="O37" s="118" t="inlineStr">
        <is>
          <t>PASS</t>
        </is>
      </c>
      <c r="P37" s="49" t="n"/>
      <c r="Q37" s="49" t="n"/>
    </row>
    <row r="38">
      <c r="A38" s="93" t="n"/>
      <c r="B38" s="68" t="inlineStr">
        <is>
          <t>pxp4</t>
        </is>
      </c>
      <c r="C38" s="93" t="n"/>
      <c r="D38" s="93" t="n"/>
      <c r="E38" s="93" t="n"/>
      <c r="F38" s="117" t="inlineStr">
        <is>
          <t>pml1</t>
        </is>
      </c>
      <c r="G38" s="118" t="inlineStr">
        <is>
          <t>PASS</t>
        </is>
      </c>
      <c r="H38" s="13" t="n"/>
      <c r="I38" s="13" t="n"/>
      <c r="J38" s="119" t="n">
        <v>28.69821635</v>
      </c>
      <c r="K38" s="117" t="n">
        <v>1000</v>
      </c>
      <c r="L38" s="118" t="inlineStr">
        <is>
          <t>PASS</t>
        </is>
      </c>
      <c r="M38" s="118" t="inlineStr">
        <is>
          <t>PASS</t>
        </is>
      </c>
      <c r="N38" s="118" t="inlineStr">
        <is>
          <t>PASS</t>
        </is>
      </c>
      <c r="O38" s="118" t="inlineStr">
        <is>
          <t>PASS</t>
        </is>
      </c>
      <c r="P38" s="49" t="n"/>
      <c r="Q38" s="49" t="n"/>
    </row>
    <row r="39">
      <c r="A39" s="93" t="n"/>
      <c r="B39" s="68" t="inlineStr">
        <is>
          <t>pxp4</t>
        </is>
      </c>
      <c r="C39" s="93" t="n"/>
      <c r="D39" s="93" t="n"/>
      <c r="E39" s="93" t="n"/>
      <c r="F39" s="117" t="inlineStr">
        <is>
          <t>sbr</t>
        </is>
      </c>
      <c r="G39" s="118" t="inlineStr">
        <is>
          <t>PASS</t>
        </is>
      </c>
      <c r="H39" s="13" t="n"/>
      <c r="I39" s="13" t="n"/>
      <c r="J39" s="119" t="n">
        <v>35.23433275</v>
      </c>
      <c r="K39" s="117" t="n">
        <v>1000</v>
      </c>
      <c r="L39" s="118" t="inlineStr">
        <is>
          <t>PASS</t>
        </is>
      </c>
      <c r="M39" s="118" t="inlineStr">
        <is>
          <t>PASS</t>
        </is>
      </c>
      <c r="N39" s="118" t="inlineStr">
        <is>
          <t>PASS</t>
        </is>
      </c>
      <c r="O39" s="118" t="inlineStr">
        <is>
          <t>PASS</t>
        </is>
      </c>
      <c r="P39" s="49" t="n"/>
      <c r="Q39" s="49" t="n"/>
    </row>
    <row r="40">
      <c r="A40" s="93" t="n"/>
      <c r="B40" s="68" t="inlineStr">
        <is>
          <t>pxp4</t>
        </is>
      </c>
      <c r="C40" s="93" t="n"/>
      <c r="D40" s="93" t="n"/>
      <c r="E40" s="94" t="n"/>
      <c r="F40" s="117" t="inlineStr">
        <is>
          <t>link_disable</t>
        </is>
      </c>
      <c r="G40" s="120" t="inlineStr">
        <is>
          <t>FAIL</t>
        </is>
      </c>
      <c r="H40" s="13" t="n"/>
      <c r="I40" s="13" t="n"/>
      <c r="J40" s="119" t="n">
        <v>27.061345</v>
      </c>
      <c r="K40" s="117" t="n">
        <v>1000</v>
      </c>
      <c r="L40" s="120" t="inlineStr">
        <is>
          <t>FAIL</t>
        </is>
      </c>
      <c r="M40" s="118" t="inlineStr">
        <is>
          <t>PASS</t>
        </is>
      </c>
      <c r="N40" s="118" t="inlineStr">
        <is>
          <t>PASS</t>
        </is>
      </c>
      <c r="O40" s="118" t="inlineStr">
        <is>
          <t>PASS</t>
        </is>
      </c>
      <c r="P40" s="49" t="n"/>
      <c r="Q40" s="49" t="n"/>
    </row>
    <row r="41">
      <c r="A41" s="94" t="n"/>
      <c r="B41" s="68" t="inlineStr">
        <is>
          <t>pxp4</t>
        </is>
      </c>
      <c r="C41" s="94" t="n"/>
      <c r="D41" s="94" t="n"/>
      <c r="E41" s="50" t="inlineStr">
        <is>
          <t>Link L1 Enable</t>
        </is>
      </c>
      <c r="F41" s="117" t="inlineStr">
        <is>
          <t>pml1</t>
        </is>
      </c>
      <c r="G41" s="118" t="inlineStr">
        <is>
          <t>PASS</t>
        </is>
      </c>
      <c r="H41" s="13" t="n"/>
      <c r="I41" s="13" t="n"/>
      <c r="J41" s="119" t="n">
        <v>35.99036365</v>
      </c>
      <c r="K41" s="117" t="n">
        <v>1000</v>
      </c>
      <c r="L41" s="121" t="inlineStr">
        <is>
          <t>NA</t>
        </is>
      </c>
      <c r="M41" s="121" t="inlineStr">
        <is>
          <t>NA</t>
        </is>
      </c>
      <c r="N41" s="121" t="inlineStr">
        <is>
          <t>NA</t>
        </is>
      </c>
      <c r="O41" s="121" t="inlineStr">
        <is>
          <t>NA</t>
        </is>
      </c>
      <c r="P41" s="49" t="n"/>
      <c r="Q41" s="49" t="n"/>
    </row>
    <row r="42" ht="14.5" customHeight="1">
      <c r="A42" s="106" t="inlineStr">
        <is>
          <t>Gen6</t>
        </is>
      </c>
      <c r="B42" s="68" t="inlineStr">
        <is>
          <t>pxp9</t>
        </is>
      </c>
      <c r="C42" s="108" t="n">
        <v>0</v>
      </c>
      <c r="D42" s="105" t="n"/>
      <c r="E42" s="107" t="inlineStr">
        <is>
          <t>Link L1 Disable</t>
        </is>
      </c>
      <c r="F42" s="117" t="inlineStr">
        <is>
          <t>retrain</t>
        </is>
      </c>
      <c r="G42" s="118" t="inlineStr">
        <is>
          <t>PASS</t>
        </is>
      </c>
      <c r="H42" s="13" t="n"/>
      <c r="I42" s="13" t="n"/>
      <c r="J42" s="119" t="n">
        <v>39.90389721666666</v>
      </c>
      <c r="K42" s="117" t="n">
        <v>1000</v>
      </c>
      <c r="L42" s="118" t="inlineStr">
        <is>
          <t>PASS</t>
        </is>
      </c>
      <c r="M42" s="118" t="inlineStr">
        <is>
          <t>PASS</t>
        </is>
      </c>
      <c r="N42" s="118" t="inlineStr">
        <is>
          <t>PASS</t>
        </is>
      </c>
      <c r="O42" s="118" t="inlineStr">
        <is>
          <t>PASS</t>
        </is>
      </c>
      <c r="P42" s="49" t="n"/>
      <c r="Q42" s="49" t="n"/>
    </row>
    <row r="43" ht="14.5" customHeight="1">
      <c r="A43" s="93" t="n"/>
      <c r="B43" s="68" t="inlineStr">
        <is>
          <t>pxp9</t>
        </is>
      </c>
      <c r="C43" s="93" t="n"/>
      <c r="D43" s="93" t="n"/>
      <c r="E43" s="93" t="n"/>
      <c r="F43" s="117" t="inlineStr">
        <is>
          <t>speedchange_all</t>
        </is>
      </c>
      <c r="G43" s="118" t="inlineStr">
        <is>
          <t>PASS</t>
        </is>
      </c>
      <c r="H43" s="13" t="n"/>
      <c r="I43" s="13" t="n"/>
      <c r="J43" s="119" t="n">
        <v>202.9247965833333</v>
      </c>
      <c r="K43" s="117" t="n">
        <v>1000</v>
      </c>
      <c r="L43" s="118" t="inlineStr">
        <is>
          <t>PASS</t>
        </is>
      </c>
      <c r="M43" s="118" t="inlineStr">
        <is>
          <t>PASS</t>
        </is>
      </c>
      <c r="N43" s="118" t="inlineStr">
        <is>
          <t>PASS</t>
        </is>
      </c>
      <c r="O43" s="118" t="inlineStr">
        <is>
          <t>PASS</t>
        </is>
      </c>
      <c r="P43" s="49" t="n"/>
      <c r="Q43" s="49" t="n"/>
    </row>
    <row r="44" ht="14.5" customHeight="1">
      <c r="A44" s="93" t="n"/>
      <c r="B44" s="68" t="inlineStr">
        <is>
          <t>pxp9</t>
        </is>
      </c>
      <c r="C44" s="93" t="n"/>
      <c r="D44" s="93" t="n"/>
      <c r="E44" s="93" t="n"/>
      <c r="F44" s="117" t="inlineStr">
        <is>
          <t>speedchange_max</t>
        </is>
      </c>
      <c r="G44" s="118" t="inlineStr">
        <is>
          <t>PASS</t>
        </is>
      </c>
      <c r="H44" s="13" t="n"/>
      <c r="I44" s="13" t="n"/>
      <c r="J44" s="119" t="n">
        <v>81.09236848333333</v>
      </c>
      <c r="K44" s="117" t="n">
        <v>1000</v>
      </c>
      <c r="L44" s="118" t="inlineStr">
        <is>
          <t>PASS</t>
        </is>
      </c>
      <c r="M44" s="118" t="inlineStr">
        <is>
          <t>PASS</t>
        </is>
      </c>
      <c r="N44" s="118" t="inlineStr">
        <is>
          <t>PASS</t>
        </is>
      </c>
      <c r="O44" s="118" t="inlineStr">
        <is>
          <t>PASS</t>
        </is>
      </c>
      <c r="P44" s="49" t="n"/>
      <c r="Q44" s="49" t="n"/>
    </row>
    <row r="45" ht="14.5" customHeight="1">
      <c r="A45" s="93" t="n"/>
      <c r="B45" s="68" t="inlineStr">
        <is>
          <t>pxp9</t>
        </is>
      </c>
      <c r="C45" s="93" t="n"/>
      <c r="D45" s="93" t="n"/>
      <c r="E45" s="93" t="n"/>
      <c r="F45" s="117" t="inlineStr">
        <is>
          <t>txeqredo</t>
        </is>
      </c>
      <c r="G45" s="118" t="inlineStr">
        <is>
          <t>PASS</t>
        </is>
      </c>
      <c r="H45" s="13" t="n"/>
      <c r="I45" s="13" t="n"/>
      <c r="J45" s="119" t="n">
        <v>40.63086015</v>
      </c>
      <c r="K45" s="117" t="n">
        <v>1000</v>
      </c>
      <c r="L45" s="118" t="inlineStr">
        <is>
          <t>PASS</t>
        </is>
      </c>
      <c r="M45" s="118" t="inlineStr">
        <is>
          <t>PASS</t>
        </is>
      </c>
      <c r="N45" s="118" t="inlineStr">
        <is>
          <t>PASS</t>
        </is>
      </c>
      <c r="O45" s="118" t="inlineStr">
        <is>
          <t>PASS</t>
        </is>
      </c>
      <c r="P45" s="49" t="n"/>
      <c r="Q45" s="49" t="n"/>
    </row>
    <row r="46" ht="14.5" customHeight="1">
      <c r="A46" s="93" t="n"/>
      <c r="B46" s="68" t="inlineStr">
        <is>
          <t>pxp9</t>
        </is>
      </c>
      <c r="C46" s="93" t="n"/>
      <c r="D46" s="93" t="n"/>
      <c r="E46" s="93" t="n"/>
      <c r="F46" s="117" t="inlineStr">
        <is>
          <t>pml1</t>
        </is>
      </c>
      <c r="G46" s="118" t="inlineStr">
        <is>
          <t>PASS</t>
        </is>
      </c>
      <c r="H46" s="13" t="n"/>
      <c r="I46" s="13" t="n"/>
      <c r="J46" s="119" t="n">
        <v>42.6071141</v>
      </c>
      <c r="K46" s="117" t="n">
        <v>1000</v>
      </c>
      <c r="L46" s="118" t="inlineStr">
        <is>
          <t>PASS</t>
        </is>
      </c>
      <c r="M46" s="118" t="inlineStr">
        <is>
          <t>PASS</t>
        </is>
      </c>
      <c r="N46" s="118" t="inlineStr">
        <is>
          <t>PASS</t>
        </is>
      </c>
      <c r="O46" s="118" t="inlineStr">
        <is>
          <t>PASS</t>
        </is>
      </c>
      <c r="P46" s="49" t="n"/>
      <c r="Q46" s="49" t="n"/>
    </row>
    <row r="47" ht="14.5" customHeight="1">
      <c r="A47" s="93" t="n"/>
      <c r="B47" s="68" t="inlineStr">
        <is>
          <t>pxp9</t>
        </is>
      </c>
      <c r="C47" s="93" t="n"/>
      <c r="D47" s="93" t="n"/>
      <c r="E47" s="93" t="n"/>
      <c r="F47" s="117" t="inlineStr">
        <is>
          <t>sbr</t>
        </is>
      </c>
      <c r="G47" s="118" t="inlineStr">
        <is>
          <t>PASS</t>
        </is>
      </c>
      <c r="H47" s="13" t="n"/>
      <c r="I47" s="13" t="n"/>
      <c r="J47" s="119" t="n">
        <v>51.33870605000001</v>
      </c>
      <c r="K47" s="117" t="n">
        <v>1000</v>
      </c>
      <c r="L47" s="118" t="inlineStr">
        <is>
          <t>PASS</t>
        </is>
      </c>
      <c r="M47" s="118" t="inlineStr">
        <is>
          <t>PASS</t>
        </is>
      </c>
      <c r="N47" s="118" t="inlineStr">
        <is>
          <t>PASS</t>
        </is>
      </c>
      <c r="O47" s="118" t="inlineStr">
        <is>
          <t>PASS</t>
        </is>
      </c>
      <c r="P47" s="49" t="n"/>
      <c r="Q47" s="49" t="n"/>
    </row>
    <row r="48" ht="14.5" customHeight="1">
      <c r="A48" s="93" t="n"/>
      <c r="B48" s="68" t="inlineStr">
        <is>
          <t>pxp9</t>
        </is>
      </c>
      <c r="C48" s="93" t="n"/>
      <c r="D48" s="93" t="n"/>
      <c r="E48" s="94" t="n"/>
      <c r="F48" s="117" t="inlineStr">
        <is>
          <t>link_disable</t>
        </is>
      </c>
      <c r="G48" s="118" t="inlineStr">
        <is>
          <t>PASS</t>
        </is>
      </c>
      <c r="H48" s="13" t="n"/>
      <c r="I48" s="13" t="n"/>
      <c r="J48" s="119" t="n">
        <v>40.99499115</v>
      </c>
      <c r="K48" s="117" t="n">
        <v>1000</v>
      </c>
      <c r="L48" s="118" t="inlineStr">
        <is>
          <t>PASS</t>
        </is>
      </c>
      <c r="M48" s="118" t="inlineStr">
        <is>
          <t>PASS</t>
        </is>
      </c>
      <c r="N48" s="118" t="inlineStr">
        <is>
          <t>PASS</t>
        </is>
      </c>
      <c r="O48" s="118" t="inlineStr">
        <is>
          <t>PASS</t>
        </is>
      </c>
      <c r="P48" s="49" t="n"/>
      <c r="Q48" s="49" t="n"/>
    </row>
    <row r="49" ht="14.5" customHeight="1">
      <c r="A49" s="94" t="n"/>
      <c r="B49" s="68" t="inlineStr">
        <is>
          <t>pxp9</t>
        </is>
      </c>
      <c r="C49" s="94" t="n"/>
      <c r="D49" s="94" t="n"/>
      <c r="E49" s="50" t="inlineStr">
        <is>
          <t>Link L1 Enable</t>
        </is>
      </c>
      <c r="F49" s="117" t="inlineStr">
        <is>
          <t>pml1</t>
        </is>
      </c>
      <c r="G49" s="118" t="inlineStr">
        <is>
          <t>PASS</t>
        </is>
      </c>
      <c r="H49" s="13" t="n"/>
      <c r="I49" s="13" t="n"/>
      <c r="J49" s="119" t="n">
        <v>52.40345561666667</v>
      </c>
      <c r="K49" s="117" t="n">
        <v>1000</v>
      </c>
      <c r="L49" s="121" t="inlineStr">
        <is>
          <t>NA</t>
        </is>
      </c>
      <c r="M49" s="121" t="inlineStr">
        <is>
          <t>NA</t>
        </is>
      </c>
      <c r="N49" s="121" t="inlineStr">
        <is>
          <t>NA</t>
        </is>
      </c>
      <c r="O49" s="121" t="inlineStr">
        <is>
          <t>NA</t>
        </is>
      </c>
      <c r="P49" s="49" t="n"/>
      <c r="Q49" s="49" t="n"/>
    </row>
    <row r="50" ht="14.5" customHeight="1">
      <c r="A50" s="106" t="inlineStr">
        <is>
          <t>Gen6</t>
        </is>
      </c>
      <c r="B50" s="68" t="inlineStr">
        <is>
          <t>pxp11</t>
        </is>
      </c>
      <c r="C50" s="108" t="n">
        <v>0</v>
      </c>
      <c r="D50" s="105" t="n"/>
      <c r="E50" s="107" t="inlineStr">
        <is>
          <t>Link L1 Disable</t>
        </is>
      </c>
      <c r="F50" s="117" t="inlineStr">
        <is>
          <t>retrain</t>
        </is>
      </c>
      <c r="G50" s="118" t="inlineStr">
        <is>
          <t>PASS</t>
        </is>
      </c>
      <c r="H50" s="13" t="n"/>
      <c r="I50" s="13" t="n"/>
      <c r="J50" s="119" t="n">
        <v>39.82763288333333</v>
      </c>
      <c r="K50" s="117" t="n">
        <v>1000</v>
      </c>
      <c r="L50" s="118" t="inlineStr">
        <is>
          <t>PASS</t>
        </is>
      </c>
      <c r="M50" s="118" t="inlineStr">
        <is>
          <t>PASS</t>
        </is>
      </c>
      <c r="N50" s="118" t="inlineStr">
        <is>
          <t>PASS</t>
        </is>
      </c>
      <c r="O50" s="118" t="inlineStr">
        <is>
          <t>PASS</t>
        </is>
      </c>
      <c r="P50" s="49" t="n"/>
      <c r="Q50" s="49" t="n"/>
    </row>
    <row r="51" ht="14.5" customHeight="1">
      <c r="A51" s="93" t="n"/>
      <c r="B51" s="68" t="inlineStr">
        <is>
          <t>pxp11</t>
        </is>
      </c>
      <c r="C51" s="93" t="n"/>
      <c r="D51" s="93" t="n"/>
      <c r="E51" s="93" t="n"/>
      <c r="F51" s="117" t="inlineStr">
        <is>
          <t>speedchange_all</t>
        </is>
      </c>
      <c r="G51" s="118" t="inlineStr">
        <is>
          <t>PASS</t>
        </is>
      </c>
      <c r="H51" s="13" t="n"/>
      <c r="I51" s="13" t="n"/>
      <c r="J51" s="119" t="n">
        <v>191.1543936666667</v>
      </c>
      <c r="K51" s="117" t="n">
        <v>1000</v>
      </c>
      <c r="L51" s="118" t="inlineStr">
        <is>
          <t>PASS</t>
        </is>
      </c>
      <c r="M51" s="118" t="inlineStr">
        <is>
          <t>PASS</t>
        </is>
      </c>
      <c r="N51" s="118" t="inlineStr">
        <is>
          <t>PASS</t>
        </is>
      </c>
      <c r="O51" s="118" t="inlineStr">
        <is>
          <t>PASS</t>
        </is>
      </c>
      <c r="P51" s="49" t="n"/>
      <c r="Q51" s="49" t="n"/>
    </row>
    <row r="52" ht="14.5" customHeight="1">
      <c r="A52" s="93" t="n"/>
      <c r="B52" s="68" t="inlineStr">
        <is>
          <t>pxp11</t>
        </is>
      </c>
      <c r="C52" s="93" t="n"/>
      <c r="D52" s="93" t="n"/>
      <c r="E52" s="93" t="n"/>
      <c r="F52" s="117" t="inlineStr">
        <is>
          <t>speedchange_max</t>
        </is>
      </c>
      <c r="G52" s="118" t="inlineStr">
        <is>
          <t>PASS</t>
        </is>
      </c>
      <c r="H52" s="13" t="n"/>
      <c r="I52" s="13" t="n"/>
      <c r="J52" s="119" t="n">
        <v>74.38869074999999</v>
      </c>
      <c r="K52" s="117" t="n">
        <v>1000</v>
      </c>
      <c r="L52" s="118" t="inlineStr">
        <is>
          <t>PASS</t>
        </is>
      </c>
      <c r="M52" s="118" t="inlineStr">
        <is>
          <t>PASS</t>
        </is>
      </c>
      <c r="N52" s="118" t="inlineStr">
        <is>
          <t>PASS</t>
        </is>
      </c>
      <c r="O52" s="118" t="inlineStr">
        <is>
          <t>PASS</t>
        </is>
      </c>
      <c r="P52" s="49" t="n"/>
      <c r="Q52" s="49" t="n"/>
    </row>
    <row r="53" ht="14.5" customHeight="1">
      <c r="A53" s="93" t="n"/>
      <c r="B53" s="68" t="inlineStr">
        <is>
          <t>pxp11</t>
        </is>
      </c>
      <c r="C53" s="93" t="n"/>
      <c r="D53" s="93" t="n"/>
      <c r="E53" s="93" t="n"/>
      <c r="F53" s="117" t="inlineStr">
        <is>
          <t>txeqredo</t>
        </is>
      </c>
      <c r="G53" s="118" t="inlineStr">
        <is>
          <t>PASS</t>
        </is>
      </c>
      <c r="H53" s="13" t="n"/>
      <c r="I53" s="13" t="n"/>
      <c r="J53" s="119" t="n">
        <v>39.77993568333333</v>
      </c>
      <c r="K53" s="117" t="n">
        <v>1000</v>
      </c>
      <c r="L53" s="118" t="inlineStr">
        <is>
          <t>PASS</t>
        </is>
      </c>
      <c r="M53" s="118" t="inlineStr">
        <is>
          <t>PASS</t>
        </is>
      </c>
      <c r="N53" s="118" t="inlineStr">
        <is>
          <t>PASS</t>
        </is>
      </c>
      <c r="O53" s="118" t="inlineStr">
        <is>
          <t>PASS</t>
        </is>
      </c>
      <c r="P53" s="49" t="n"/>
      <c r="Q53" s="49" t="n"/>
    </row>
    <row r="54" ht="14.5" customHeight="1">
      <c r="A54" s="93" t="n"/>
      <c r="B54" s="68" t="inlineStr">
        <is>
          <t>pxp11</t>
        </is>
      </c>
      <c r="C54" s="93" t="n"/>
      <c r="D54" s="93" t="n"/>
      <c r="E54" s="93" t="n"/>
      <c r="F54" s="117" t="inlineStr">
        <is>
          <t>pml1</t>
        </is>
      </c>
      <c r="G54" s="118" t="inlineStr">
        <is>
          <t>PASS</t>
        </is>
      </c>
      <c r="H54" s="13" t="n"/>
      <c r="I54" s="13" t="n"/>
      <c r="J54" s="119" t="n">
        <v>42.09487985</v>
      </c>
      <c r="K54" s="117" t="n">
        <v>1000</v>
      </c>
      <c r="L54" s="118" t="inlineStr">
        <is>
          <t>PASS</t>
        </is>
      </c>
      <c r="M54" s="118" t="inlineStr">
        <is>
          <t>PASS</t>
        </is>
      </c>
      <c r="N54" s="118" t="inlineStr">
        <is>
          <t>PASS</t>
        </is>
      </c>
      <c r="O54" s="118" t="inlineStr">
        <is>
          <t>PASS</t>
        </is>
      </c>
      <c r="P54" s="49" t="n"/>
      <c r="Q54" s="49" t="n"/>
    </row>
    <row r="55" ht="14.5" customHeight="1">
      <c r="A55" s="93" t="n"/>
      <c r="B55" s="68" t="inlineStr">
        <is>
          <t>pxp11</t>
        </is>
      </c>
      <c r="C55" s="93" t="n"/>
      <c r="D55" s="93" t="n"/>
      <c r="E55" s="93" t="n"/>
      <c r="F55" s="117" t="inlineStr">
        <is>
          <t>sbr</t>
        </is>
      </c>
      <c r="G55" s="118" t="inlineStr">
        <is>
          <t>PASS</t>
        </is>
      </c>
      <c r="H55" s="13" t="n"/>
      <c r="I55" s="13" t="n"/>
      <c r="J55" s="119" t="n">
        <v>50.67933123333333</v>
      </c>
      <c r="K55" s="117" t="n">
        <v>1000</v>
      </c>
      <c r="L55" s="118" t="inlineStr">
        <is>
          <t>PASS</t>
        </is>
      </c>
      <c r="M55" s="118" t="inlineStr">
        <is>
          <t>PASS</t>
        </is>
      </c>
      <c r="N55" s="118" t="inlineStr">
        <is>
          <t>PASS</t>
        </is>
      </c>
      <c r="O55" s="118" t="inlineStr">
        <is>
          <t>PASS</t>
        </is>
      </c>
      <c r="P55" s="49" t="n"/>
      <c r="Q55" s="49" t="n"/>
    </row>
    <row r="56" ht="14.5" customHeight="1">
      <c r="A56" s="93" t="n"/>
      <c r="B56" s="68" t="inlineStr">
        <is>
          <t>pxp11</t>
        </is>
      </c>
      <c r="C56" s="93" t="n"/>
      <c r="D56" s="93" t="n"/>
      <c r="E56" s="94" t="n"/>
      <c r="F56" s="117" t="inlineStr">
        <is>
          <t>link_disable</t>
        </is>
      </c>
      <c r="G56" s="118" t="inlineStr">
        <is>
          <t>PASS</t>
        </is>
      </c>
      <c r="H56" s="13" t="n"/>
      <c r="I56" s="13" t="n"/>
      <c r="J56" s="119" t="n">
        <v>40.77900365</v>
      </c>
      <c r="K56" s="117" t="n">
        <v>1000</v>
      </c>
      <c r="L56" s="118" t="inlineStr">
        <is>
          <t>PASS</t>
        </is>
      </c>
      <c r="M56" s="118" t="inlineStr">
        <is>
          <t>PASS</t>
        </is>
      </c>
      <c r="N56" s="118" t="inlineStr">
        <is>
          <t>PASS</t>
        </is>
      </c>
      <c r="O56" s="118" t="inlineStr">
        <is>
          <t>PASS</t>
        </is>
      </c>
      <c r="P56" s="49" t="n"/>
      <c r="Q56" s="49" t="n"/>
    </row>
    <row r="57" ht="14.5" customHeight="1">
      <c r="A57" s="94" t="n"/>
      <c r="B57" s="68" t="inlineStr">
        <is>
          <t>pxp11</t>
        </is>
      </c>
      <c r="C57" s="94" t="n"/>
      <c r="D57" s="94" t="n"/>
      <c r="E57" s="50" t="inlineStr">
        <is>
          <t>Link L1 Enable</t>
        </is>
      </c>
      <c r="F57" s="117" t="inlineStr">
        <is>
          <t>pml1</t>
        </is>
      </c>
      <c r="G57" s="118" t="inlineStr">
        <is>
          <t>PASS</t>
        </is>
      </c>
      <c r="H57" s="13" t="n"/>
      <c r="I57" s="13" t="n"/>
      <c r="J57" s="119" t="n">
        <v>51.81051668333333</v>
      </c>
      <c r="K57" s="117" t="n">
        <v>1000</v>
      </c>
      <c r="L57" s="121" t="inlineStr">
        <is>
          <t>NA</t>
        </is>
      </c>
      <c r="M57" s="121" t="inlineStr">
        <is>
          <t>NA</t>
        </is>
      </c>
      <c r="N57" s="121" t="inlineStr">
        <is>
          <t>NA</t>
        </is>
      </c>
      <c r="O57" s="121" t="inlineStr">
        <is>
          <t>NA</t>
        </is>
      </c>
      <c r="P57" s="49" t="n"/>
      <c r="Q57" s="49" t="n"/>
    </row>
    <row r="58" ht="14.5" customHeight="1">
      <c r="A58" s="106" t="inlineStr">
        <is>
          <t>Gen6</t>
        </is>
      </c>
      <c r="B58" s="68" t="inlineStr">
        <is>
          <t>pxp12</t>
        </is>
      </c>
      <c r="C58" s="109" t="n">
        <v>0</v>
      </c>
      <c r="D58" s="105" t="n"/>
      <c r="E58" s="107" t="inlineStr">
        <is>
          <t>Link L1 Disable</t>
        </is>
      </c>
      <c r="F58" s="117" t="inlineStr">
        <is>
          <t>retrain</t>
        </is>
      </c>
      <c r="G58" s="118" t="inlineStr">
        <is>
          <t>PASS</t>
        </is>
      </c>
      <c r="H58" s="13" t="n"/>
      <c r="I58" s="13" t="n"/>
      <c r="J58" s="119" t="n">
        <v>40.47169321666667</v>
      </c>
      <c r="K58" s="117" t="n">
        <v>1000</v>
      </c>
      <c r="L58" s="118" t="inlineStr">
        <is>
          <t>PASS</t>
        </is>
      </c>
      <c r="M58" s="118" t="inlineStr">
        <is>
          <t>PASS</t>
        </is>
      </c>
      <c r="N58" s="118" t="inlineStr">
        <is>
          <t>PASS</t>
        </is>
      </c>
      <c r="O58" s="118" t="inlineStr">
        <is>
          <t>PASS</t>
        </is>
      </c>
      <c r="P58" s="49" t="n"/>
      <c r="Q58" s="49" t="n"/>
    </row>
    <row r="59" ht="14.5" customHeight="1">
      <c r="A59" s="93" t="n"/>
      <c r="B59" s="68" t="inlineStr">
        <is>
          <t>pxp12</t>
        </is>
      </c>
      <c r="C59" s="93" t="n"/>
      <c r="D59" s="93" t="n"/>
      <c r="E59" s="93" t="n"/>
      <c r="F59" s="117" t="inlineStr">
        <is>
          <t>speedchange_all</t>
        </is>
      </c>
      <c r="G59" s="118" t="inlineStr">
        <is>
          <t>PASS</t>
        </is>
      </c>
      <c r="H59" s="13" t="n"/>
      <c r="I59" s="13" t="n"/>
      <c r="J59" s="119" t="n">
        <v>196.2102038666667</v>
      </c>
      <c r="K59" s="117" t="n">
        <v>1000</v>
      </c>
      <c r="L59" s="118" t="inlineStr">
        <is>
          <t>PASS</t>
        </is>
      </c>
      <c r="M59" s="118" t="inlineStr">
        <is>
          <t>PASS</t>
        </is>
      </c>
      <c r="N59" s="118" t="inlineStr">
        <is>
          <t>PASS</t>
        </is>
      </c>
      <c r="O59" s="118" t="inlineStr">
        <is>
          <t>PASS</t>
        </is>
      </c>
      <c r="P59" s="49" t="n"/>
      <c r="Q59" s="49" t="n"/>
    </row>
    <row r="60" ht="14.5" customHeight="1">
      <c r="A60" s="93" t="n"/>
      <c r="B60" s="68" t="inlineStr">
        <is>
          <t>pxp12</t>
        </is>
      </c>
      <c r="C60" s="93" t="n"/>
      <c r="D60" s="93" t="n"/>
      <c r="E60" s="93" t="n"/>
      <c r="F60" s="117" t="inlineStr">
        <is>
          <t>speedchange_max</t>
        </is>
      </c>
      <c r="G60" s="118" t="inlineStr">
        <is>
          <t>PASS</t>
        </is>
      </c>
      <c r="H60" s="13" t="n"/>
      <c r="I60" s="13" t="n"/>
      <c r="J60" s="119" t="n">
        <v>76.35237796666667</v>
      </c>
      <c r="K60" s="117" t="n">
        <v>1000</v>
      </c>
      <c r="L60" s="118" t="inlineStr">
        <is>
          <t>PASS</t>
        </is>
      </c>
      <c r="M60" s="118" t="inlineStr">
        <is>
          <t>PASS</t>
        </is>
      </c>
      <c r="N60" s="118" t="inlineStr">
        <is>
          <t>PASS</t>
        </is>
      </c>
      <c r="O60" s="118" t="inlineStr">
        <is>
          <t>PASS</t>
        </is>
      </c>
      <c r="P60" s="49" t="n"/>
      <c r="Q60" s="49" t="n"/>
    </row>
    <row r="61" ht="14.5" customHeight="1">
      <c r="A61" s="93" t="n"/>
      <c r="B61" s="68" t="inlineStr">
        <is>
          <t>pxp12</t>
        </is>
      </c>
      <c r="C61" s="93" t="n"/>
      <c r="D61" s="93" t="n"/>
      <c r="E61" s="93" t="n"/>
      <c r="F61" s="117" t="inlineStr">
        <is>
          <t>txeqredo</t>
        </is>
      </c>
      <c r="G61" s="118" t="inlineStr">
        <is>
          <t>PASS</t>
        </is>
      </c>
      <c r="H61" s="13" t="n"/>
      <c r="I61" s="13" t="n"/>
      <c r="J61" s="119" t="n">
        <v>40.90079005</v>
      </c>
      <c r="K61" s="117" t="n">
        <v>1000</v>
      </c>
      <c r="L61" s="118" t="inlineStr">
        <is>
          <t>PASS</t>
        </is>
      </c>
      <c r="M61" s="118" t="inlineStr">
        <is>
          <t>PASS</t>
        </is>
      </c>
      <c r="N61" s="118" t="inlineStr">
        <is>
          <t>PASS</t>
        </is>
      </c>
      <c r="O61" s="118" t="inlineStr">
        <is>
          <t>PASS</t>
        </is>
      </c>
      <c r="P61" s="49" t="n"/>
      <c r="Q61" s="49" t="n"/>
    </row>
    <row r="62" ht="14.5" customHeight="1">
      <c r="A62" s="93" t="n"/>
      <c r="B62" s="68" t="inlineStr">
        <is>
          <t>pxp12</t>
        </is>
      </c>
      <c r="C62" s="93" t="n"/>
      <c r="D62" s="93" t="n"/>
      <c r="E62" s="93" t="n"/>
      <c r="F62" s="117" t="inlineStr">
        <is>
          <t>pml1</t>
        </is>
      </c>
      <c r="G62" s="118" t="inlineStr">
        <is>
          <t>PASS</t>
        </is>
      </c>
      <c r="H62" s="13" t="n"/>
      <c r="I62" s="13" t="n"/>
      <c r="J62" s="119" t="n">
        <v>43.15888958333333</v>
      </c>
      <c r="K62" s="117" t="n">
        <v>1000</v>
      </c>
      <c r="L62" s="118" t="inlineStr">
        <is>
          <t>PASS</t>
        </is>
      </c>
      <c r="M62" s="118" t="inlineStr">
        <is>
          <t>PASS</t>
        </is>
      </c>
      <c r="N62" s="118" t="inlineStr">
        <is>
          <t>PASS</t>
        </is>
      </c>
      <c r="O62" s="118" t="inlineStr">
        <is>
          <t>PASS</t>
        </is>
      </c>
      <c r="P62" s="49" t="n"/>
      <c r="Q62" s="49" t="n"/>
    </row>
    <row r="63" ht="14.5" customHeight="1">
      <c r="A63" s="93" t="n"/>
      <c r="B63" s="68" t="inlineStr">
        <is>
          <t>pxp12</t>
        </is>
      </c>
      <c r="C63" s="93" t="n"/>
      <c r="D63" s="93" t="n"/>
      <c r="E63" s="93" t="n"/>
      <c r="F63" s="117" t="inlineStr">
        <is>
          <t>sbr</t>
        </is>
      </c>
      <c r="G63" s="118" t="inlineStr">
        <is>
          <t>PASS</t>
        </is>
      </c>
      <c r="H63" s="13" t="n"/>
      <c r="I63" s="13" t="n"/>
      <c r="J63" s="119" t="n">
        <v>51.2805222</v>
      </c>
      <c r="K63" s="117" t="n">
        <v>1000</v>
      </c>
      <c r="L63" s="118" t="inlineStr">
        <is>
          <t>PASS</t>
        </is>
      </c>
      <c r="M63" s="118" t="inlineStr">
        <is>
          <t>PASS</t>
        </is>
      </c>
      <c r="N63" s="118" t="inlineStr">
        <is>
          <t>PASS</t>
        </is>
      </c>
      <c r="O63" s="118" t="inlineStr">
        <is>
          <t>PASS</t>
        </is>
      </c>
      <c r="P63" s="49" t="n"/>
      <c r="Q63" s="49" t="n"/>
    </row>
    <row r="64" ht="14.5" customHeight="1">
      <c r="A64" s="93" t="n"/>
      <c r="B64" s="68" t="inlineStr">
        <is>
          <t>pxp12</t>
        </is>
      </c>
      <c r="C64" s="93" t="n"/>
      <c r="D64" s="93" t="n"/>
      <c r="E64" s="94" t="n"/>
      <c r="F64" s="117" t="inlineStr">
        <is>
          <t>link_disable</t>
        </is>
      </c>
      <c r="G64" s="118" t="inlineStr">
        <is>
          <t>PASS</t>
        </is>
      </c>
      <c r="H64" s="13" t="n"/>
      <c r="I64" s="13" t="n"/>
      <c r="J64" s="119" t="n">
        <v>41.11023786666667</v>
      </c>
      <c r="K64" s="117" t="n">
        <v>1000</v>
      </c>
      <c r="L64" s="118" t="inlineStr">
        <is>
          <t>PASS</t>
        </is>
      </c>
      <c r="M64" s="118" t="inlineStr">
        <is>
          <t>PASS</t>
        </is>
      </c>
      <c r="N64" s="118" t="inlineStr">
        <is>
          <t>PASS</t>
        </is>
      </c>
      <c r="O64" s="118" t="inlineStr">
        <is>
          <t>PASS</t>
        </is>
      </c>
      <c r="P64" s="49" t="n"/>
      <c r="Q64" s="49" t="n"/>
    </row>
    <row r="65" ht="14.5" customHeight="1">
      <c r="A65" s="94" t="n"/>
      <c r="B65" s="68" t="inlineStr">
        <is>
          <t>pxp12</t>
        </is>
      </c>
      <c r="C65" s="94" t="n"/>
      <c r="D65" s="94" t="n"/>
      <c r="E65" s="50" t="inlineStr">
        <is>
          <t>Link L1 Enable</t>
        </is>
      </c>
      <c r="F65" s="117" t="inlineStr">
        <is>
          <t>pml1</t>
        </is>
      </c>
      <c r="G65" s="118" t="inlineStr">
        <is>
          <t>PASS</t>
        </is>
      </c>
      <c r="H65" s="13" t="n"/>
      <c r="I65" s="13" t="n"/>
      <c r="J65" s="119" t="n">
        <v>53.15438605</v>
      </c>
      <c r="K65" s="117" t="n">
        <v>1000</v>
      </c>
      <c r="L65" s="121" t="inlineStr">
        <is>
          <t>NA</t>
        </is>
      </c>
      <c r="M65" s="121" t="inlineStr">
        <is>
          <t>NA</t>
        </is>
      </c>
      <c r="N65" s="121" t="inlineStr">
        <is>
          <t>NA</t>
        </is>
      </c>
      <c r="O65" s="121" t="inlineStr">
        <is>
          <t>NA</t>
        </is>
      </c>
      <c r="P65" s="49" t="n"/>
      <c r="Q65" s="49" t="n"/>
    </row>
    <row r="66" ht="14.5" customHeight="1">
      <c r="A66" s="106" t="inlineStr">
        <is>
          <t>Gen5</t>
        </is>
      </c>
      <c r="B66" s="68" t="inlineStr">
        <is>
          <t>pxp1</t>
        </is>
      </c>
      <c r="C66" s="108" t="n">
        <v>0</v>
      </c>
      <c r="D66" s="105" t="n"/>
      <c r="E66" s="107" t="inlineStr">
        <is>
          <t>Link L1 Disable</t>
        </is>
      </c>
      <c r="F66" s="117" t="inlineStr">
        <is>
          <t>retrain</t>
        </is>
      </c>
      <c r="G66" s="118" t="inlineStr">
        <is>
          <t>PASS</t>
        </is>
      </c>
      <c r="H66" s="13" t="n"/>
      <c r="I66" s="13" t="n"/>
      <c r="J66" s="119" t="n">
        <v>13.49881291666667</v>
      </c>
      <c r="K66" s="117" t="n">
        <v>1000</v>
      </c>
      <c r="L66" s="118" t="inlineStr">
        <is>
          <t>PASS</t>
        </is>
      </c>
      <c r="M66" s="118" t="inlineStr">
        <is>
          <t>PASS</t>
        </is>
      </c>
      <c r="N66" s="118" t="inlineStr">
        <is>
          <t>PASS</t>
        </is>
      </c>
      <c r="O66" s="118" t="inlineStr">
        <is>
          <t>PASS</t>
        </is>
      </c>
      <c r="P66" s="49" t="n"/>
      <c r="Q66" s="49" t="n"/>
    </row>
    <row r="67" ht="14.5" customHeight="1">
      <c r="A67" s="93" t="n"/>
      <c r="B67" s="68" t="inlineStr">
        <is>
          <t>pxp1</t>
        </is>
      </c>
      <c r="C67" s="93" t="n"/>
      <c r="D67" s="93" t="n"/>
      <c r="E67" s="93" t="n"/>
      <c r="F67" s="117" t="inlineStr">
        <is>
          <t>speedchange_all</t>
        </is>
      </c>
      <c r="G67" s="118" t="inlineStr">
        <is>
          <t>PASS</t>
        </is>
      </c>
      <c r="H67" s="13" t="n"/>
      <c r="I67" s="13" t="n"/>
      <c r="J67" s="119" t="n">
        <v>96.2188701</v>
      </c>
      <c r="K67" s="117" t="n">
        <v>1000</v>
      </c>
      <c r="L67" s="118" t="inlineStr">
        <is>
          <t>PASS</t>
        </is>
      </c>
      <c r="M67" s="118" t="inlineStr">
        <is>
          <t>PASS</t>
        </is>
      </c>
      <c r="N67" s="118" t="inlineStr">
        <is>
          <t>PASS</t>
        </is>
      </c>
      <c r="O67" s="118" t="inlineStr">
        <is>
          <t>PASS</t>
        </is>
      </c>
      <c r="P67" s="49" t="n"/>
      <c r="Q67" s="49" t="n"/>
    </row>
    <row r="68" ht="14.5" customHeight="1">
      <c r="A68" s="93" t="n"/>
      <c r="B68" s="68" t="inlineStr">
        <is>
          <t>pxp1</t>
        </is>
      </c>
      <c r="C68" s="93" t="n"/>
      <c r="D68" s="93" t="n"/>
      <c r="E68" s="93" t="n"/>
      <c r="F68" s="117" t="inlineStr">
        <is>
          <t>speedchange_max</t>
        </is>
      </c>
      <c r="G68" s="118" t="inlineStr">
        <is>
          <t>PASS</t>
        </is>
      </c>
      <c r="H68" s="13" t="n"/>
      <c r="I68" s="13" t="n"/>
      <c r="J68" s="119" t="n">
        <v>34.65653876666667</v>
      </c>
      <c r="K68" s="117" t="n">
        <v>1000</v>
      </c>
      <c r="L68" s="118" t="inlineStr">
        <is>
          <t>PASS</t>
        </is>
      </c>
      <c r="M68" s="118" t="inlineStr">
        <is>
          <t>PASS</t>
        </is>
      </c>
      <c r="N68" s="118" t="inlineStr">
        <is>
          <t>PASS</t>
        </is>
      </c>
      <c r="O68" s="118" t="inlineStr">
        <is>
          <t>PASS</t>
        </is>
      </c>
      <c r="P68" s="49" t="n"/>
      <c r="Q68" s="49" t="n"/>
    </row>
    <row r="69" ht="14.5" customHeight="1">
      <c r="A69" s="93" t="n"/>
      <c r="B69" s="68" t="inlineStr">
        <is>
          <t>pxp1</t>
        </is>
      </c>
      <c r="C69" s="93" t="n"/>
      <c r="D69" s="93" t="n"/>
      <c r="E69" s="93" t="n"/>
      <c r="F69" s="117" t="inlineStr">
        <is>
          <t>txeqredo</t>
        </is>
      </c>
      <c r="G69" s="118" t="inlineStr">
        <is>
          <t>PASS</t>
        </is>
      </c>
      <c r="H69" s="13" t="n"/>
      <c r="I69" s="13" t="n"/>
      <c r="J69" s="119" t="n">
        <v>13.34364808333333</v>
      </c>
      <c r="K69" s="117" t="n">
        <v>1000</v>
      </c>
      <c r="L69" s="118" t="inlineStr">
        <is>
          <t>PASS</t>
        </is>
      </c>
      <c r="M69" s="118" t="inlineStr">
        <is>
          <t>PASS</t>
        </is>
      </c>
      <c r="N69" s="118" t="inlineStr">
        <is>
          <t>PASS</t>
        </is>
      </c>
      <c r="O69" s="118" t="inlineStr">
        <is>
          <t>PASS</t>
        </is>
      </c>
      <c r="P69" s="49" t="n"/>
      <c r="Q69" s="49" t="n"/>
    </row>
    <row r="70" ht="14.5" customHeight="1">
      <c r="A70" s="93" t="n"/>
      <c r="B70" s="68" t="inlineStr">
        <is>
          <t>pxp1</t>
        </is>
      </c>
      <c r="C70" s="93" t="n"/>
      <c r="D70" s="93" t="n"/>
      <c r="E70" s="93" t="n"/>
      <c r="F70" s="117" t="inlineStr">
        <is>
          <t>pml1</t>
        </is>
      </c>
      <c r="G70" s="118" t="inlineStr">
        <is>
          <t>PASS</t>
        </is>
      </c>
      <c r="H70" s="13" t="n"/>
      <c r="I70" s="13" t="n"/>
      <c r="J70" s="119" t="n">
        <v>15.87605838333333</v>
      </c>
      <c r="K70" s="117" t="n">
        <v>1000</v>
      </c>
      <c r="L70" s="118" t="inlineStr">
        <is>
          <t>PASS</t>
        </is>
      </c>
      <c r="M70" s="118" t="inlineStr">
        <is>
          <t>PASS</t>
        </is>
      </c>
      <c r="N70" s="118" t="inlineStr">
        <is>
          <t>PASS</t>
        </is>
      </c>
      <c r="O70" s="118" t="inlineStr">
        <is>
          <t>PASS</t>
        </is>
      </c>
      <c r="P70" s="49" t="n"/>
      <c r="Q70" s="49" t="n"/>
    </row>
    <row r="71" ht="14.5" customHeight="1">
      <c r="A71" s="93" t="n"/>
      <c r="B71" s="68" t="inlineStr">
        <is>
          <t>pxp1</t>
        </is>
      </c>
      <c r="C71" s="93" t="n"/>
      <c r="D71" s="93" t="n"/>
      <c r="E71" s="93" t="n"/>
      <c r="F71" s="117" t="inlineStr">
        <is>
          <t>sbr</t>
        </is>
      </c>
      <c r="G71" s="118" t="inlineStr">
        <is>
          <t>PASS</t>
        </is>
      </c>
      <c r="H71" s="13" t="n"/>
      <c r="I71" s="13" t="n"/>
      <c r="J71" s="119" t="n">
        <v>17.22163415</v>
      </c>
      <c r="K71" s="117" t="n">
        <v>1000</v>
      </c>
      <c r="L71" s="118" t="inlineStr">
        <is>
          <t>PASS</t>
        </is>
      </c>
      <c r="M71" s="118" t="inlineStr">
        <is>
          <t>PASS</t>
        </is>
      </c>
      <c r="N71" s="118" t="inlineStr">
        <is>
          <t>PASS</t>
        </is>
      </c>
      <c r="O71" s="118" t="inlineStr">
        <is>
          <t>PASS</t>
        </is>
      </c>
      <c r="P71" s="49" t="n"/>
      <c r="Q71" s="49" t="n"/>
    </row>
    <row r="72" ht="14.5" customHeight="1">
      <c r="A72" s="93" t="n"/>
      <c r="B72" s="68" t="inlineStr">
        <is>
          <t>pxp1</t>
        </is>
      </c>
      <c r="C72" s="93" t="n"/>
      <c r="D72" s="93" t="n"/>
      <c r="E72" s="94" t="n"/>
      <c r="F72" s="117" t="inlineStr">
        <is>
          <t>link_disable</t>
        </is>
      </c>
      <c r="G72" s="118" t="inlineStr">
        <is>
          <t>PASS</t>
        </is>
      </c>
      <c r="H72" s="13" t="n"/>
      <c r="I72" s="13" t="n"/>
      <c r="J72" s="119" t="n">
        <v>14.29053388333333</v>
      </c>
      <c r="K72" s="117" t="n">
        <v>1000</v>
      </c>
      <c r="L72" s="118" t="inlineStr">
        <is>
          <t>PASS</t>
        </is>
      </c>
      <c r="M72" s="118" t="inlineStr">
        <is>
          <t>PASS</t>
        </is>
      </c>
      <c r="N72" s="118" t="inlineStr">
        <is>
          <t>PASS</t>
        </is>
      </c>
      <c r="O72" s="118" t="inlineStr">
        <is>
          <t>PASS</t>
        </is>
      </c>
      <c r="P72" s="49" t="n"/>
      <c r="Q72" s="49" t="n"/>
    </row>
    <row r="73" ht="14.5" customHeight="1">
      <c r="A73" s="94" t="n"/>
      <c r="B73" s="68" t="inlineStr">
        <is>
          <t>pxp1</t>
        </is>
      </c>
      <c r="C73" s="94" t="n"/>
      <c r="D73" s="94" t="n"/>
      <c r="E73" s="50" t="inlineStr">
        <is>
          <t>Link L1 Enable</t>
        </is>
      </c>
      <c r="F73" s="117" t="inlineStr">
        <is>
          <t>pml1</t>
        </is>
      </c>
      <c r="G73" s="118" t="inlineStr">
        <is>
          <t>PASS</t>
        </is>
      </c>
      <c r="H73" s="13" t="n"/>
      <c r="I73" s="13" t="n"/>
      <c r="J73" s="119" t="n">
        <v>24.6704296</v>
      </c>
      <c r="K73" s="117" t="n">
        <v>1000</v>
      </c>
      <c r="L73" s="121" t="inlineStr">
        <is>
          <t>NA</t>
        </is>
      </c>
      <c r="M73" s="121" t="inlineStr">
        <is>
          <t>NA</t>
        </is>
      </c>
      <c r="N73" s="121" t="inlineStr">
        <is>
          <t>NA</t>
        </is>
      </c>
      <c r="O73" s="121" t="inlineStr">
        <is>
          <t>NA</t>
        </is>
      </c>
      <c r="P73" s="49" t="n"/>
      <c r="Q73" s="49" t="n"/>
    </row>
    <row r="74" ht="14.5" customHeight="1">
      <c r="A74" s="106" t="inlineStr">
        <is>
          <t>Gen5</t>
        </is>
      </c>
      <c r="B74" s="68" t="inlineStr">
        <is>
          <t>pxp1</t>
        </is>
      </c>
      <c r="C74" s="108" t="n">
        <v>4</v>
      </c>
      <c r="D74" s="105" t="n"/>
      <c r="E74" s="107" t="inlineStr">
        <is>
          <t>Link L1 Disable</t>
        </is>
      </c>
      <c r="F74" s="117" t="inlineStr">
        <is>
          <t>retrain</t>
        </is>
      </c>
      <c r="G74" s="118" t="inlineStr">
        <is>
          <t>PASS</t>
        </is>
      </c>
      <c r="H74" s="13" t="n"/>
      <c r="I74" s="13" t="n"/>
      <c r="J74" s="119" t="n">
        <v>13.79130633333333</v>
      </c>
      <c r="K74" s="117" t="n">
        <v>1000</v>
      </c>
      <c r="L74" s="118" t="inlineStr">
        <is>
          <t>PASS</t>
        </is>
      </c>
      <c r="M74" s="118" t="inlineStr">
        <is>
          <t>PASS</t>
        </is>
      </c>
      <c r="N74" s="118" t="inlineStr">
        <is>
          <t>PASS</t>
        </is>
      </c>
      <c r="O74" s="118" t="inlineStr">
        <is>
          <t>PASS</t>
        </is>
      </c>
      <c r="P74" s="49" t="n"/>
      <c r="Q74" s="49" t="n"/>
    </row>
    <row r="75" ht="14.5" customHeight="1">
      <c r="A75" s="93" t="n"/>
      <c r="B75" s="68" t="inlineStr">
        <is>
          <t>pxp1</t>
        </is>
      </c>
      <c r="C75" s="93" t="n"/>
      <c r="D75" s="93" t="n"/>
      <c r="E75" s="93" t="n"/>
      <c r="F75" s="117" t="inlineStr">
        <is>
          <t>speedchange_all</t>
        </is>
      </c>
      <c r="G75" s="118" t="inlineStr">
        <is>
          <t>PASS</t>
        </is>
      </c>
      <c r="H75" s="13" t="n"/>
      <c r="I75" s="13" t="n"/>
      <c r="J75" s="119" t="n">
        <v>96.41928893333333</v>
      </c>
      <c r="K75" s="117" t="n">
        <v>1000</v>
      </c>
      <c r="L75" s="118" t="inlineStr">
        <is>
          <t>PASS</t>
        </is>
      </c>
      <c r="M75" s="118" t="inlineStr">
        <is>
          <t>PASS</t>
        </is>
      </c>
      <c r="N75" s="118" t="inlineStr">
        <is>
          <t>PASS</t>
        </is>
      </c>
      <c r="O75" s="118" t="inlineStr">
        <is>
          <t>PASS</t>
        </is>
      </c>
      <c r="P75" s="49" t="n"/>
      <c r="Q75" s="49" t="n"/>
    </row>
    <row r="76" ht="14.5" customHeight="1">
      <c r="A76" s="93" t="n"/>
      <c r="B76" s="68" t="inlineStr">
        <is>
          <t>pxp1</t>
        </is>
      </c>
      <c r="C76" s="93" t="n"/>
      <c r="D76" s="93" t="n"/>
      <c r="E76" s="93" t="n"/>
      <c r="F76" s="117" t="inlineStr">
        <is>
          <t>speedchange_max</t>
        </is>
      </c>
      <c r="G76" s="118" t="inlineStr">
        <is>
          <t>PASS</t>
        </is>
      </c>
      <c r="H76" s="13" t="n"/>
      <c r="I76" s="13" t="n"/>
      <c r="J76" s="119" t="n">
        <v>34.74312798333334</v>
      </c>
      <c r="K76" s="117" t="n">
        <v>1000</v>
      </c>
      <c r="L76" s="118" t="inlineStr">
        <is>
          <t>PASS</t>
        </is>
      </c>
      <c r="M76" s="118" t="inlineStr">
        <is>
          <t>PASS</t>
        </is>
      </c>
      <c r="N76" s="118" t="inlineStr">
        <is>
          <t>PASS</t>
        </is>
      </c>
      <c r="O76" s="118" t="inlineStr">
        <is>
          <t>PASS</t>
        </is>
      </c>
      <c r="P76" s="49" t="n"/>
      <c r="Q76" s="49" t="n"/>
    </row>
    <row r="77" ht="14.5" customHeight="1">
      <c r="A77" s="93" t="n"/>
      <c r="B77" s="68" t="inlineStr">
        <is>
          <t>pxp1</t>
        </is>
      </c>
      <c r="C77" s="93" t="n"/>
      <c r="D77" s="93" t="n"/>
      <c r="E77" s="93" t="n"/>
      <c r="F77" s="117" t="inlineStr">
        <is>
          <t>txeqredo</t>
        </is>
      </c>
      <c r="G77" s="118" t="inlineStr">
        <is>
          <t>PASS</t>
        </is>
      </c>
      <c r="H77" s="13" t="n"/>
      <c r="I77" s="13" t="n"/>
      <c r="J77" s="119" t="n">
        <v>13.4363819</v>
      </c>
      <c r="K77" s="117" t="n">
        <v>1000</v>
      </c>
      <c r="L77" s="118" t="inlineStr">
        <is>
          <t>PASS</t>
        </is>
      </c>
      <c r="M77" s="118" t="inlineStr">
        <is>
          <t>PASS</t>
        </is>
      </c>
      <c r="N77" s="118" t="inlineStr">
        <is>
          <t>PASS</t>
        </is>
      </c>
      <c r="O77" s="118" t="inlineStr">
        <is>
          <t>PASS</t>
        </is>
      </c>
      <c r="P77" s="49" t="n"/>
      <c r="Q77" s="49" t="n"/>
    </row>
    <row r="78" ht="14.5" customHeight="1">
      <c r="A78" s="93" t="n"/>
      <c r="B78" s="68" t="inlineStr">
        <is>
          <t>pxp1</t>
        </is>
      </c>
      <c r="C78" s="93" t="n"/>
      <c r="D78" s="93" t="n"/>
      <c r="E78" s="93" t="n"/>
      <c r="F78" s="117" t="inlineStr">
        <is>
          <t>pml1</t>
        </is>
      </c>
      <c r="G78" s="118" t="inlineStr">
        <is>
          <t>PASS</t>
        </is>
      </c>
      <c r="H78" s="13" t="n"/>
      <c r="I78" s="13" t="n"/>
      <c r="J78" s="119" t="n">
        <v>15.9371295</v>
      </c>
      <c r="K78" s="117" t="n">
        <v>1000</v>
      </c>
      <c r="L78" s="118" t="inlineStr">
        <is>
          <t>PASS</t>
        </is>
      </c>
      <c r="M78" s="118" t="inlineStr">
        <is>
          <t>PASS</t>
        </is>
      </c>
      <c r="N78" s="118" t="inlineStr">
        <is>
          <t>PASS</t>
        </is>
      </c>
      <c r="O78" s="118" t="inlineStr">
        <is>
          <t>PASS</t>
        </is>
      </c>
      <c r="P78" s="49" t="n"/>
      <c r="Q78" s="49" t="n"/>
    </row>
    <row r="79" ht="14.5" customHeight="1">
      <c r="A79" s="93" t="n"/>
      <c r="B79" s="68" t="inlineStr">
        <is>
          <t>pxp1</t>
        </is>
      </c>
      <c r="C79" s="93" t="n"/>
      <c r="D79" s="93" t="n"/>
      <c r="E79" s="93" t="n"/>
      <c r="F79" s="117" t="inlineStr">
        <is>
          <t>sbr</t>
        </is>
      </c>
      <c r="G79" s="118" t="inlineStr">
        <is>
          <t>PASS</t>
        </is>
      </c>
      <c r="H79" s="13" t="n"/>
      <c r="I79" s="13" t="n"/>
      <c r="J79" s="119" t="n">
        <v>17.30254608333333</v>
      </c>
      <c r="K79" s="117" t="n">
        <v>1000</v>
      </c>
      <c r="L79" s="118" t="inlineStr">
        <is>
          <t>PASS</t>
        </is>
      </c>
      <c r="M79" s="118" t="inlineStr">
        <is>
          <t>PASS</t>
        </is>
      </c>
      <c r="N79" s="118" t="inlineStr">
        <is>
          <t>PASS</t>
        </is>
      </c>
      <c r="O79" s="118" t="inlineStr">
        <is>
          <t>PASS</t>
        </is>
      </c>
      <c r="P79" s="49" t="n"/>
      <c r="Q79" s="49" t="n"/>
    </row>
    <row r="80" ht="14.5" customHeight="1">
      <c r="A80" s="93" t="n"/>
      <c r="B80" s="68" t="inlineStr">
        <is>
          <t>pxp1</t>
        </is>
      </c>
      <c r="C80" s="93" t="n"/>
      <c r="D80" s="93" t="n"/>
      <c r="E80" s="94" t="n"/>
      <c r="F80" s="117" t="inlineStr">
        <is>
          <t>link_disable</t>
        </is>
      </c>
      <c r="G80" s="118" t="inlineStr">
        <is>
          <t>PASS</t>
        </is>
      </c>
      <c r="H80" s="13" t="n"/>
      <c r="I80" s="13" t="n"/>
      <c r="J80" s="119" t="n">
        <v>14.35282841666667</v>
      </c>
      <c r="K80" s="117" t="n">
        <v>1000</v>
      </c>
      <c r="L80" s="118" t="inlineStr">
        <is>
          <t>PASS</t>
        </is>
      </c>
      <c r="M80" s="118" t="inlineStr">
        <is>
          <t>PASS</t>
        </is>
      </c>
      <c r="N80" s="118" t="inlineStr">
        <is>
          <t>PASS</t>
        </is>
      </c>
      <c r="O80" s="118" t="inlineStr">
        <is>
          <t>PASS</t>
        </is>
      </c>
      <c r="P80" s="49" t="n"/>
      <c r="Q80" s="49" t="n"/>
    </row>
    <row r="81" ht="14.5" customHeight="1">
      <c r="A81" s="94" t="n"/>
      <c r="B81" s="68" t="inlineStr">
        <is>
          <t>pxp1</t>
        </is>
      </c>
      <c r="C81" s="94" t="n"/>
      <c r="D81" s="94" t="n"/>
      <c r="E81" s="50" t="inlineStr">
        <is>
          <t>Link L1 Enable</t>
        </is>
      </c>
      <c r="F81" s="117" t="inlineStr">
        <is>
          <t>pml1</t>
        </is>
      </c>
      <c r="G81" s="118" t="inlineStr">
        <is>
          <t>PASS</t>
        </is>
      </c>
      <c r="H81" s="13" t="n"/>
      <c r="I81" s="13" t="n"/>
      <c r="J81" s="119" t="n">
        <v>23.49509428333333</v>
      </c>
      <c r="K81" s="117" t="n">
        <v>1000</v>
      </c>
      <c r="L81" s="121" t="inlineStr">
        <is>
          <t>NA</t>
        </is>
      </c>
      <c r="M81" s="121" t="inlineStr">
        <is>
          <t>NA</t>
        </is>
      </c>
      <c r="N81" s="121" t="inlineStr">
        <is>
          <t>NA</t>
        </is>
      </c>
      <c r="O81" s="121" t="inlineStr">
        <is>
          <t>NA</t>
        </is>
      </c>
      <c r="P81" s="49" t="n"/>
      <c r="Q81" s="49" t="n"/>
    </row>
    <row r="82" ht="14.5" customHeight="1">
      <c r="A82" s="106" t="inlineStr">
        <is>
          <t>Gen5</t>
        </is>
      </c>
      <c r="B82" s="68" t="inlineStr">
        <is>
          <t>pxp3</t>
        </is>
      </c>
      <c r="C82" s="108" t="n">
        <v>0</v>
      </c>
      <c r="D82" s="105" t="n"/>
      <c r="E82" s="107" t="inlineStr">
        <is>
          <t>Link L1 Disable</t>
        </is>
      </c>
      <c r="F82" s="117" t="inlineStr">
        <is>
          <t>retrain</t>
        </is>
      </c>
      <c r="G82" s="118" t="inlineStr">
        <is>
          <t>PASS</t>
        </is>
      </c>
      <c r="H82" s="13" t="n"/>
      <c r="I82" s="13" t="n"/>
      <c r="J82" s="119" t="n">
        <v>14.86112376666667</v>
      </c>
      <c r="K82" s="117" t="n">
        <v>1000</v>
      </c>
      <c r="L82" s="118" t="inlineStr">
        <is>
          <t>PASS</t>
        </is>
      </c>
      <c r="M82" s="118" t="inlineStr">
        <is>
          <t>PASS</t>
        </is>
      </c>
      <c r="N82" s="118" t="inlineStr">
        <is>
          <t>PASS</t>
        </is>
      </c>
      <c r="O82" s="118" t="inlineStr">
        <is>
          <t>PASS</t>
        </is>
      </c>
      <c r="P82" s="49" t="n"/>
      <c r="Q82" s="49" t="n"/>
    </row>
    <row r="83" ht="14.5" customHeight="1">
      <c r="A83" s="93" t="n"/>
      <c r="B83" s="68" t="inlineStr">
        <is>
          <t>pxp3</t>
        </is>
      </c>
      <c r="C83" s="93" t="n"/>
      <c r="D83" s="93" t="n"/>
      <c r="E83" s="93" t="n"/>
      <c r="F83" s="117" t="inlineStr">
        <is>
          <t>speedchange_all</t>
        </is>
      </c>
      <c r="G83" s="118" t="inlineStr">
        <is>
          <t>PASS</t>
        </is>
      </c>
      <c r="H83" s="13" t="n"/>
      <c r="I83" s="13" t="n"/>
      <c r="J83" s="119" t="n">
        <v>103.2748465166667</v>
      </c>
      <c r="K83" s="117" t="n">
        <v>1000</v>
      </c>
      <c r="L83" s="118" t="inlineStr">
        <is>
          <t>PASS</t>
        </is>
      </c>
      <c r="M83" s="118" t="inlineStr">
        <is>
          <t>PASS</t>
        </is>
      </c>
      <c r="N83" s="118" t="inlineStr">
        <is>
          <t>PASS</t>
        </is>
      </c>
      <c r="O83" s="118" t="inlineStr">
        <is>
          <t>PASS</t>
        </is>
      </c>
      <c r="P83" s="49" t="n"/>
      <c r="Q83" s="49" t="n"/>
    </row>
    <row r="84" ht="14.5" customHeight="1">
      <c r="A84" s="93" t="n"/>
      <c r="B84" s="68" t="inlineStr">
        <is>
          <t>pxp3</t>
        </is>
      </c>
      <c r="C84" s="93" t="n"/>
      <c r="D84" s="93" t="n"/>
      <c r="E84" s="93" t="n"/>
      <c r="F84" s="117" t="inlineStr">
        <is>
          <t>speedchange_max</t>
        </is>
      </c>
      <c r="G84" s="118" t="inlineStr">
        <is>
          <t>PASS</t>
        </is>
      </c>
      <c r="H84" s="13" t="n"/>
      <c r="I84" s="13" t="n"/>
      <c r="J84" s="119" t="n">
        <v>37.51402723333333</v>
      </c>
      <c r="K84" s="117" t="n">
        <v>1000</v>
      </c>
      <c r="L84" s="118" t="inlineStr">
        <is>
          <t>PASS</t>
        </is>
      </c>
      <c r="M84" s="118" t="inlineStr">
        <is>
          <t>PASS</t>
        </is>
      </c>
      <c r="N84" s="118" t="inlineStr">
        <is>
          <t>PASS</t>
        </is>
      </c>
      <c r="O84" s="118" t="inlineStr">
        <is>
          <t>PASS</t>
        </is>
      </c>
      <c r="P84" s="49" t="n"/>
      <c r="Q84" s="49" t="n"/>
    </row>
    <row r="85" ht="14.5" customHeight="1">
      <c r="A85" s="93" t="n"/>
      <c r="B85" s="68" t="inlineStr">
        <is>
          <t>pxp3</t>
        </is>
      </c>
      <c r="C85" s="93" t="n"/>
      <c r="D85" s="93" t="n"/>
      <c r="E85" s="93" t="n"/>
      <c r="F85" s="117" t="inlineStr">
        <is>
          <t>txeqredo</t>
        </is>
      </c>
      <c r="G85" s="118" t="inlineStr">
        <is>
          <t>PASS</t>
        </is>
      </c>
      <c r="H85" s="13" t="n"/>
      <c r="I85" s="13" t="n"/>
      <c r="J85" s="119" t="n">
        <v>14.93760938333333</v>
      </c>
      <c r="K85" s="117" t="n">
        <v>1000</v>
      </c>
      <c r="L85" s="118" t="inlineStr">
        <is>
          <t>PASS</t>
        </is>
      </c>
      <c r="M85" s="118" t="inlineStr">
        <is>
          <t>PASS</t>
        </is>
      </c>
      <c r="N85" s="118" t="inlineStr">
        <is>
          <t>PASS</t>
        </is>
      </c>
      <c r="O85" s="118" t="inlineStr">
        <is>
          <t>PASS</t>
        </is>
      </c>
      <c r="P85" s="49" t="n"/>
      <c r="Q85" s="49" t="n"/>
    </row>
    <row r="86" ht="14.5" customHeight="1">
      <c r="A86" s="93" t="n"/>
      <c r="B86" s="68" t="inlineStr">
        <is>
          <t>pxp3</t>
        </is>
      </c>
      <c r="C86" s="93" t="n"/>
      <c r="D86" s="93" t="n"/>
      <c r="E86" s="93" t="n"/>
      <c r="F86" s="117" t="inlineStr">
        <is>
          <t>pml1</t>
        </is>
      </c>
      <c r="G86" s="118" t="inlineStr">
        <is>
          <t>PASS</t>
        </is>
      </c>
      <c r="H86" s="13" t="n"/>
      <c r="I86" s="13" t="n"/>
      <c r="J86" s="119" t="n">
        <v>17.15175768333334</v>
      </c>
      <c r="K86" s="117" t="n">
        <v>1000</v>
      </c>
      <c r="L86" s="118" t="inlineStr">
        <is>
          <t>PASS</t>
        </is>
      </c>
      <c r="M86" s="118" t="inlineStr">
        <is>
          <t>PASS</t>
        </is>
      </c>
      <c r="N86" s="118" t="inlineStr">
        <is>
          <t>PASS</t>
        </is>
      </c>
      <c r="O86" s="118" t="inlineStr">
        <is>
          <t>PASS</t>
        </is>
      </c>
      <c r="P86" s="49" t="n"/>
      <c r="Q86" s="49" t="n"/>
    </row>
    <row r="87" ht="14.5" customHeight="1">
      <c r="A87" s="93" t="n"/>
      <c r="B87" s="68" t="inlineStr">
        <is>
          <t>pxp3</t>
        </is>
      </c>
      <c r="C87" s="93" t="n"/>
      <c r="D87" s="93" t="n"/>
      <c r="E87" s="93" t="n"/>
      <c r="F87" s="117" t="inlineStr">
        <is>
          <t>sbr</t>
        </is>
      </c>
      <c r="G87" s="118" t="inlineStr">
        <is>
          <t>PASS</t>
        </is>
      </c>
      <c r="H87" s="13" t="n"/>
      <c r="I87" s="13" t="n"/>
      <c r="J87" s="119" t="n">
        <v>18.93894128333334</v>
      </c>
      <c r="K87" s="117" t="n">
        <v>1000</v>
      </c>
      <c r="L87" s="118" t="inlineStr">
        <is>
          <t>PASS</t>
        </is>
      </c>
      <c r="M87" s="118" t="inlineStr">
        <is>
          <t>PASS</t>
        </is>
      </c>
      <c r="N87" s="118" t="inlineStr">
        <is>
          <t>PASS</t>
        </is>
      </c>
      <c r="O87" s="118" t="inlineStr">
        <is>
          <t>PASS</t>
        </is>
      </c>
      <c r="P87" s="49" t="n"/>
      <c r="Q87" s="49" t="n"/>
    </row>
    <row r="88" ht="14.5" customHeight="1">
      <c r="A88" s="93" t="n"/>
      <c r="B88" s="68" t="inlineStr">
        <is>
          <t>pxp3</t>
        </is>
      </c>
      <c r="C88" s="93" t="n"/>
      <c r="D88" s="93" t="n"/>
      <c r="E88" s="94" t="n"/>
      <c r="F88" s="117" t="inlineStr">
        <is>
          <t>link_disable</t>
        </is>
      </c>
      <c r="G88" s="118" t="inlineStr">
        <is>
          <t>PASS</t>
        </is>
      </c>
      <c r="H88" s="13" t="n"/>
      <c r="I88" s="13" t="n"/>
      <c r="J88" s="119" t="n">
        <v>14.9534682</v>
      </c>
      <c r="K88" s="117" t="n">
        <v>1000</v>
      </c>
      <c r="L88" s="118" t="inlineStr">
        <is>
          <t>PASS</t>
        </is>
      </c>
      <c r="M88" s="118" t="inlineStr">
        <is>
          <t>PASS</t>
        </is>
      </c>
      <c r="N88" s="118" t="inlineStr">
        <is>
          <t>PASS</t>
        </is>
      </c>
      <c r="O88" s="118" t="inlineStr">
        <is>
          <t>PASS</t>
        </is>
      </c>
      <c r="P88" s="49" t="n"/>
      <c r="Q88" s="49" t="n"/>
    </row>
    <row r="89" ht="14.5" customHeight="1">
      <c r="A89" s="94" t="n"/>
      <c r="B89" s="68" t="inlineStr">
        <is>
          <t>pxp3</t>
        </is>
      </c>
      <c r="C89" s="94" t="n"/>
      <c r="D89" s="94" t="n"/>
      <c r="E89" s="50" t="inlineStr">
        <is>
          <t>Link L1 Enable</t>
        </is>
      </c>
      <c r="F89" s="117" t="inlineStr">
        <is>
          <t>pml1</t>
        </is>
      </c>
      <c r="G89" s="118" t="inlineStr">
        <is>
          <t>PASS</t>
        </is>
      </c>
      <c r="H89" s="13" t="n"/>
      <c r="I89" s="13" t="n"/>
      <c r="J89" s="119" t="n">
        <v>23.46511713333333</v>
      </c>
      <c r="K89" s="117" t="n">
        <v>1000</v>
      </c>
      <c r="L89" s="121" t="inlineStr">
        <is>
          <t>NA</t>
        </is>
      </c>
      <c r="M89" s="121" t="inlineStr">
        <is>
          <t>NA</t>
        </is>
      </c>
      <c r="N89" s="121" t="inlineStr">
        <is>
          <t>NA</t>
        </is>
      </c>
      <c r="O89" s="121" t="inlineStr">
        <is>
          <t>NA</t>
        </is>
      </c>
      <c r="P89" s="49" t="n"/>
      <c r="Q89" s="49" t="n"/>
    </row>
    <row r="90">
      <c r="A90" s="106" t="inlineStr">
        <is>
          <t>Gen5</t>
        </is>
      </c>
      <c r="B90" s="68" t="inlineStr">
        <is>
          <t>pxp4</t>
        </is>
      </c>
      <c r="C90" s="108" t="n">
        <v>0</v>
      </c>
      <c r="D90" s="105" t="n"/>
      <c r="E90" s="107" t="inlineStr">
        <is>
          <t>Link L1 Disable</t>
        </is>
      </c>
      <c r="F90" s="117" t="inlineStr">
        <is>
          <t>retrain</t>
        </is>
      </c>
      <c r="G90" s="118" t="inlineStr">
        <is>
          <t>PASS</t>
        </is>
      </c>
      <c r="H90" s="13" t="n"/>
      <c r="I90" s="13" t="n"/>
      <c r="J90" s="119" t="n">
        <v>14.85141321666667</v>
      </c>
      <c r="K90" s="117" t="n">
        <v>1000</v>
      </c>
      <c r="L90" s="118" t="inlineStr">
        <is>
          <t>PASS</t>
        </is>
      </c>
      <c r="M90" s="118" t="inlineStr">
        <is>
          <t>PASS</t>
        </is>
      </c>
      <c r="N90" s="118" t="inlineStr">
        <is>
          <t>PASS</t>
        </is>
      </c>
      <c r="O90" s="118" t="inlineStr">
        <is>
          <t>PASS</t>
        </is>
      </c>
      <c r="P90" s="49" t="n"/>
      <c r="Q90" s="49" t="n"/>
    </row>
    <row r="91">
      <c r="A91" s="93" t="n"/>
      <c r="B91" s="68" t="inlineStr">
        <is>
          <t>pxp4</t>
        </is>
      </c>
      <c r="C91" s="93" t="n"/>
      <c r="D91" s="93" t="n"/>
      <c r="E91" s="93" t="n"/>
      <c r="F91" s="117" t="inlineStr">
        <is>
          <t>speedchange_all</t>
        </is>
      </c>
      <c r="G91" s="118" t="inlineStr">
        <is>
          <t>PASS</t>
        </is>
      </c>
      <c r="H91" s="13" t="n"/>
      <c r="I91" s="13" t="n"/>
      <c r="J91" s="119" t="n">
        <v>103.1190789166667</v>
      </c>
      <c r="K91" s="117" t="n">
        <v>1000</v>
      </c>
      <c r="L91" s="118" t="inlineStr">
        <is>
          <t>PASS</t>
        </is>
      </c>
      <c r="M91" s="118" t="inlineStr">
        <is>
          <t>PASS</t>
        </is>
      </c>
      <c r="N91" s="118" t="inlineStr">
        <is>
          <t>PASS</t>
        </is>
      </c>
      <c r="O91" s="118" t="inlineStr">
        <is>
          <t>PASS</t>
        </is>
      </c>
      <c r="P91" s="49" t="n"/>
      <c r="Q91" s="49" t="n"/>
    </row>
    <row r="92">
      <c r="A92" s="93" t="n"/>
      <c r="B92" s="68" t="inlineStr">
        <is>
          <t>pxp4</t>
        </is>
      </c>
      <c r="C92" s="93" t="n"/>
      <c r="D92" s="93" t="n"/>
      <c r="E92" s="93" t="n"/>
      <c r="F92" s="117" t="inlineStr">
        <is>
          <t>speedchange_max</t>
        </is>
      </c>
      <c r="G92" s="118" t="inlineStr">
        <is>
          <t>PASS</t>
        </is>
      </c>
      <c r="H92" s="13" t="n"/>
      <c r="I92" s="13" t="n"/>
      <c r="J92" s="119" t="n">
        <v>37.47283526666667</v>
      </c>
      <c r="K92" s="117" t="n">
        <v>1000</v>
      </c>
      <c r="L92" s="118" t="inlineStr">
        <is>
          <t>PASS</t>
        </is>
      </c>
      <c r="M92" s="118" t="inlineStr">
        <is>
          <t>PASS</t>
        </is>
      </c>
      <c r="N92" s="118" t="inlineStr">
        <is>
          <t>PASS</t>
        </is>
      </c>
      <c r="O92" s="118" t="inlineStr">
        <is>
          <t>PASS</t>
        </is>
      </c>
      <c r="P92" s="49" t="n"/>
      <c r="Q92" s="49" t="n"/>
    </row>
    <row r="93">
      <c r="A93" s="93" t="n"/>
      <c r="B93" s="68" t="inlineStr">
        <is>
          <t>pxp4</t>
        </is>
      </c>
      <c r="C93" s="93" t="n"/>
      <c r="D93" s="93" t="n"/>
      <c r="E93" s="93" t="n"/>
      <c r="F93" s="117" t="inlineStr">
        <is>
          <t>txeqredo</t>
        </is>
      </c>
      <c r="G93" s="118" t="inlineStr">
        <is>
          <t>PASS</t>
        </is>
      </c>
      <c r="H93" s="13" t="n"/>
      <c r="I93" s="13" t="n"/>
      <c r="J93" s="119" t="n">
        <v>14.85655825</v>
      </c>
      <c r="K93" s="117" t="n">
        <v>1000</v>
      </c>
      <c r="L93" s="118" t="inlineStr">
        <is>
          <t>PASS</t>
        </is>
      </c>
      <c r="M93" s="118" t="inlineStr">
        <is>
          <t>PASS</t>
        </is>
      </c>
      <c r="N93" s="118" t="inlineStr">
        <is>
          <t>PASS</t>
        </is>
      </c>
      <c r="O93" s="118" t="inlineStr">
        <is>
          <t>PASS</t>
        </is>
      </c>
      <c r="P93" s="49" t="n"/>
      <c r="Q93" s="49" t="n"/>
    </row>
    <row r="94">
      <c r="A94" s="93" t="n"/>
      <c r="B94" s="68" t="inlineStr">
        <is>
          <t>pxp4</t>
        </is>
      </c>
      <c r="C94" s="93" t="n"/>
      <c r="D94" s="93" t="n"/>
      <c r="E94" s="93" t="n"/>
      <c r="F94" s="117" t="inlineStr">
        <is>
          <t>pml1</t>
        </is>
      </c>
      <c r="G94" s="118" t="inlineStr">
        <is>
          <t>PASS</t>
        </is>
      </c>
      <c r="H94" s="13" t="n"/>
      <c r="I94" s="13" t="n"/>
      <c r="J94" s="119" t="n">
        <v>17.11823253333333</v>
      </c>
      <c r="K94" s="117" t="n">
        <v>1000</v>
      </c>
      <c r="L94" s="118" t="inlineStr">
        <is>
          <t>PASS</t>
        </is>
      </c>
      <c r="M94" s="118" t="inlineStr">
        <is>
          <t>PASS</t>
        </is>
      </c>
      <c r="N94" s="118" t="inlineStr">
        <is>
          <t>PASS</t>
        </is>
      </c>
      <c r="O94" s="118" t="inlineStr">
        <is>
          <t>PASS</t>
        </is>
      </c>
      <c r="P94" s="49" t="n"/>
      <c r="Q94" s="49" t="n"/>
    </row>
    <row r="95">
      <c r="A95" s="93" t="n"/>
      <c r="B95" s="68" t="inlineStr">
        <is>
          <t>pxp4</t>
        </is>
      </c>
      <c r="C95" s="93" t="n"/>
      <c r="D95" s="93" t="n"/>
      <c r="E95" s="93" t="n"/>
      <c r="F95" s="117" t="inlineStr">
        <is>
          <t>sbr</t>
        </is>
      </c>
      <c r="G95" s="118" t="inlineStr">
        <is>
          <t>PASS</t>
        </is>
      </c>
      <c r="H95" s="13" t="n"/>
      <c r="I95" s="13" t="n"/>
      <c r="J95" s="119" t="n">
        <v>18.89188175</v>
      </c>
      <c r="K95" s="117" t="n">
        <v>1000</v>
      </c>
      <c r="L95" s="118" t="inlineStr">
        <is>
          <t>PASS</t>
        </is>
      </c>
      <c r="M95" s="118" t="inlineStr">
        <is>
          <t>PASS</t>
        </is>
      </c>
      <c r="N95" s="118" t="inlineStr">
        <is>
          <t>PASS</t>
        </is>
      </c>
      <c r="O95" s="118" t="inlineStr">
        <is>
          <t>PASS</t>
        </is>
      </c>
      <c r="P95" s="49" t="n"/>
      <c r="Q95" s="49" t="n"/>
    </row>
    <row r="96">
      <c r="A96" s="93" t="n"/>
      <c r="B96" s="68" t="inlineStr">
        <is>
          <t>pxp4</t>
        </is>
      </c>
      <c r="C96" s="93" t="n"/>
      <c r="D96" s="93" t="n"/>
      <c r="E96" s="94" t="n"/>
      <c r="F96" s="117" t="inlineStr">
        <is>
          <t>link_disable</t>
        </is>
      </c>
      <c r="G96" s="118" t="inlineStr">
        <is>
          <t>PASS</t>
        </is>
      </c>
      <c r="H96" s="13" t="n"/>
      <c r="I96" s="13" t="n"/>
      <c r="J96" s="119" t="n">
        <v>15.8180516</v>
      </c>
      <c r="K96" s="117" t="n">
        <v>1000</v>
      </c>
      <c r="L96" s="118" t="inlineStr">
        <is>
          <t>PASS</t>
        </is>
      </c>
      <c r="M96" s="118" t="inlineStr">
        <is>
          <t>PASS</t>
        </is>
      </c>
      <c r="N96" s="118" t="inlineStr">
        <is>
          <t>PASS</t>
        </is>
      </c>
      <c r="O96" s="118" t="inlineStr">
        <is>
          <t>PASS</t>
        </is>
      </c>
      <c r="P96" s="49" t="n"/>
      <c r="Q96" s="49" t="n"/>
    </row>
    <row r="97">
      <c r="A97" s="94" t="n"/>
      <c r="B97" s="68" t="inlineStr">
        <is>
          <t>pxp4</t>
        </is>
      </c>
      <c r="C97" s="94" t="n"/>
      <c r="D97" s="94" t="n"/>
      <c r="E97" s="50" t="inlineStr">
        <is>
          <t>Link L1 Enable</t>
        </is>
      </c>
      <c r="F97" s="117" t="inlineStr">
        <is>
          <t>pml1</t>
        </is>
      </c>
      <c r="G97" s="118" t="inlineStr">
        <is>
          <t>PASS</t>
        </is>
      </c>
      <c r="H97" s="13" t="n"/>
      <c r="I97" s="13" t="n"/>
      <c r="J97" s="119" t="n">
        <v>24.39962926666667</v>
      </c>
      <c r="K97" s="117" t="n">
        <v>1000</v>
      </c>
      <c r="L97" s="121" t="inlineStr">
        <is>
          <t>NA</t>
        </is>
      </c>
      <c r="M97" s="121" t="inlineStr">
        <is>
          <t>NA</t>
        </is>
      </c>
      <c r="N97" s="121" t="inlineStr">
        <is>
          <t>NA</t>
        </is>
      </c>
      <c r="O97" s="121" t="inlineStr">
        <is>
          <t>NA</t>
        </is>
      </c>
      <c r="P97" s="49" t="n"/>
      <c r="Q97" s="49" t="n"/>
    </row>
    <row r="98">
      <c r="A98" s="106" t="inlineStr">
        <is>
          <t>Gen5</t>
        </is>
      </c>
      <c r="B98" s="68" t="inlineStr">
        <is>
          <t>pxp4</t>
        </is>
      </c>
      <c r="C98" s="108" t="n">
        <v>4</v>
      </c>
      <c r="D98" s="105" t="n"/>
      <c r="E98" s="107" t="inlineStr">
        <is>
          <t>Link L1 Disable</t>
        </is>
      </c>
      <c r="F98" s="117" t="inlineStr">
        <is>
          <t>retrain</t>
        </is>
      </c>
      <c r="G98" s="118" t="inlineStr">
        <is>
          <t>PASS</t>
        </is>
      </c>
      <c r="H98" s="13" t="n"/>
      <c r="I98" s="13" t="n"/>
      <c r="J98" s="119" t="n">
        <v>13.76317638333333</v>
      </c>
      <c r="K98" s="117" t="n">
        <v>1000</v>
      </c>
      <c r="L98" s="118" t="inlineStr">
        <is>
          <t>PASS</t>
        </is>
      </c>
      <c r="M98" s="118" t="inlineStr">
        <is>
          <t>PASS</t>
        </is>
      </c>
      <c r="N98" s="118" t="inlineStr">
        <is>
          <t>PASS</t>
        </is>
      </c>
      <c r="O98" s="118" t="inlineStr">
        <is>
          <t>PASS</t>
        </is>
      </c>
      <c r="P98" s="49" t="n"/>
      <c r="Q98" s="49" t="n"/>
    </row>
    <row r="99">
      <c r="A99" s="93" t="n"/>
      <c r="B99" s="68" t="inlineStr">
        <is>
          <t>pxp4</t>
        </is>
      </c>
      <c r="C99" s="93" t="n"/>
      <c r="D99" s="93" t="n"/>
      <c r="E99" s="93" t="n"/>
      <c r="F99" s="117" t="inlineStr">
        <is>
          <t>speedchange_all</t>
        </is>
      </c>
      <c r="G99" s="118" t="inlineStr">
        <is>
          <t>PASS</t>
        </is>
      </c>
      <c r="H99" s="13" t="n"/>
      <c r="I99" s="13" t="n"/>
      <c r="J99" s="119" t="n">
        <v>96.5418696</v>
      </c>
      <c r="K99" s="117" t="n">
        <v>1000</v>
      </c>
      <c r="L99" s="118" t="inlineStr">
        <is>
          <t>PASS</t>
        </is>
      </c>
      <c r="M99" s="118" t="inlineStr">
        <is>
          <t>PASS</t>
        </is>
      </c>
      <c r="N99" s="118" t="inlineStr">
        <is>
          <t>PASS</t>
        </is>
      </c>
      <c r="O99" s="118" t="inlineStr">
        <is>
          <t>PASS</t>
        </is>
      </c>
      <c r="P99" s="49" t="n"/>
      <c r="Q99" s="49" t="n"/>
    </row>
    <row r="100">
      <c r="A100" s="93" t="n"/>
      <c r="B100" s="68" t="inlineStr">
        <is>
          <t>pxp4</t>
        </is>
      </c>
      <c r="C100" s="93" t="n"/>
      <c r="D100" s="93" t="n"/>
      <c r="E100" s="93" t="n"/>
      <c r="F100" s="117" t="inlineStr">
        <is>
          <t>speedchange_max</t>
        </is>
      </c>
      <c r="G100" s="118" t="inlineStr">
        <is>
          <t>PASS</t>
        </is>
      </c>
      <c r="H100" s="13" t="n"/>
      <c r="I100" s="13" t="n"/>
      <c r="J100" s="119" t="n">
        <v>34.78763198333333</v>
      </c>
      <c r="K100" s="117" t="n">
        <v>1000</v>
      </c>
      <c r="L100" s="118" t="inlineStr">
        <is>
          <t>PASS</t>
        </is>
      </c>
      <c r="M100" s="118" t="inlineStr">
        <is>
          <t>PASS</t>
        </is>
      </c>
      <c r="N100" s="118" t="inlineStr">
        <is>
          <t>PASS</t>
        </is>
      </c>
      <c r="O100" s="118" t="inlineStr">
        <is>
          <t>PASS</t>
        </is>
      </c>
      <c r="P100" s="49" t="n"/>
      <c r="Q100" s="49" t="n"/>
    </row>
    <row r="101">
      <c r="A101" s="93" t="n"/>
      <c r="B101" s="68" t="inlineStr">
        <is>
          <t>pxp4</t>
        </is>
      </c>
      <c r="C101" s="93" t="n"/>
      <c r="D101" s="93" t="n"/>
      <c r="E101" s="93" t="n"/>
      <c r="F101" s="117" t="inlineStr">
        <is>
          <t>txeqredo</t>
        </is>
      </c>
      <c r="G101" s="118" t="inlineStr">
        <is>
          <t>PASS</t>
        </is>
      </c>
      <c r="H101" s="13" t="n"/>
      <c r="I101" s="13" t="n"/>
      <c r="J101" s="119" t="n">
        <v>13.54517911666667</v>
      </c>
      <c r="K101" s="117" t="n">
        <v>1000</v>
      </c>
      <c r="L101" s="118" t="inlineStr">
        <is>
          <t>PASS</t>
        </is>
      </c>
      <c r="M101" s="118" t="inlineStr">
        <is>
          <t>PASS</t>
        </is>
      </c>
      <c r="N101" s="118" t="inlineStr">
        <is>
          <t>PASS</t>
        </is>
      </c>
      <c r="O101" s="118" t="inlineStr">
        <is>
          <t>PASS</t>
        </is>
      </c>
      <c r="P101" s="49" t="n"/>
      <c r="Q101" s="49" t="n"/>
    </row>
    <row r="102">
      <c r="A102" s="93" t="n"/>
      <c r="B102" s="68" t="inlineStr">
        <is>
          <t>pxp4</t>
        </is>
      </c>
      <c r="C102" s="93" t="n"/>
      <c r="D102" s="93" t="n"/>
      <c r="E102" s="93" t="n"/>
      <c r="F102" s="117" t="inlineStr">
        <is>
          <t>pml1</t>
        </is>
      </c>
      <c r="G102" s="118" t="inlineStr">
        <is>
          <t>PASS</t>
        </is>
      </c>
      <c r="H102" s="13" t="n"/>
      <c r="I102" s="13" t="n"/>
      <c r="J102" s="119" t="n">
        <v>16.16817288333333</v>
      </c>
      <c r="K102" s="117" t="n">
        <v>1000</v>
      </c>
      <c r="L102" s="118" t="inlineStr">
        <is>
          <t>PASS</t>
        </is>
      </c>
      <c r="M102" s="118" t="inlineStr">
        <is>
          <t>PASS</t>
        </is>
      </c>
      <c r="N102" s="118" t="inlineStr">
        <is>
          <t>PASS</t>
        </is>
      </c>
      <c r="O102" s="118" t="inlineStr">
        <is>
          <t>PASS</t>
        </is>
      </c>
      <c r="P102" s="49" t="n"/>
      <c r="Q102" s="49" t="n"/>
    </row>
    <row r="103">
      <c r="A103" s="93" t="n"/>
      <c r="B103" s="68" t="inlineStr">
        <is>
          <t>pxp4</t>
        </is>
      </c>
      <c r="C103" s="93" t="n"/>
      <c r="D103" s="93" t="n"/>
      <c r="E103" s="93" t="n"/>
      <c r="F103" s="117" t="inlineStr">
        <is>
          <t>sbr</t>
        </is>
      </c>
      <c r="G103" s="118" t="inlineStr">
        <is>
          <t>PASS</t>
        </is>
      </c>
      <c r="H103" s="13" t="n"/>
      <c r="I103" s="13" t="n"/>
      <c r="J103" s="119" t="n">
        <v>17.47124091666667</v>
      </c>
      <c r="K103" s="117" t="n">
        <v>1000</v>
      </c>
      <c r="L103" s="118" t="inlineStr">
        <is>
          <t>PASS</t>
        </is>
      </c>
      <c r="M103" s="118" t="inlineStr">
        <is>
          <t>PASS</t>
        </is>
      </c>
      <c r="N103" s="118" t="inlineStr">
        <is>
          <t>PASS</t>
        </is>
      </c>
      <c r="O103" s="118" t="inlineStr">
        <is>
          <t>PASS</t>
        </is>
      </c>
      <c r="P103" s="49" t="n"/>
      <c r="Q103" s="49" t="n"/>
    </row>
    <row r="104">
      <c r="A104" s="93" t="n"/>
      <c r="B104" s="68" t="inlineStr">
        <is>
          <t>pxp4</t>
        </is>
      </c>
      <c r="C104" s="93" t="n"/>
      <c r="D104" s="93" t="n"/>
      <c r="E104" s="94" t="n"/>
      <c r="F104" s="117" t="inlineStr">
        <is>
          <t>link_disable</t>
        </is>
      </c>
      <c r="G104" s="118" t="inlineStr">
        <is>
          <t>PASS</t>
        </is>
      </c>
      <c r="H104" s="13" t="n"/>
      <c r="I104" s="13" t="n"/>
      <c r="J104" s="119" t="n">
        <v>14.45230546666667</v>
      </c>
      <c r="K104" s="117" t="n">
        <v>1000</v>
      </c>
      <c r="L104" s="118" t="inlineStr">
        <is>
          <t>PASS</t>
        </is>
      </c>
      <c r="M104" s="118" t="inlineStr">
        <is>
          <t>PASS</t>
        </is>
      </c>
      <c r="N104" s="118" t="inlineStr">
        <is>
          <t>PASS</t>
        </is>
      </c>
      <c r="O104" s="118" t="inlineStr">
        <is>
          <t>PASS</t>
        </is>
      </c>
      <c r="P104" s="49" t="n"/>
      <c r="Q104" s="49" t="n"/>
    </row>
    <row r="105">
      <c r="A105" s="94" t="n"/>
      <c r="B105" s="68" t="inlineStr">
        <is>
          <t>pxp4</t>
        </is>
      </c>
      <c r="C105" s="94" t="n"/>
      <c r="D105" s="94" t="n"/>
      <c r="E105" s="50" t="inlineStr">
        <is>
          <t>Link L1 Enable</t>
        </is>
      </c>
      <c r="F105" s="117" t="inlineStr">
        <is>
          <t>pml1</t>
        </is>
      </c>
      <c r="G105" s="118" t="inlineStr">
        <is>
          <t>PASS</t>
        </is>
      </c>
      <c r="H105" s="13" t="n"/>
      <c r="I105" s="13" t="n"/>
      <c r="J105" s="119" t="n">
        <v>23.39754685</v>
      </c>
      <c r="K105" s="117" t="n">
        <v>1000</v>
      </c>
      <c r="L105" s="121" t="inlineStr">
        <is>
          <t>NA</t>
        </is>
      </c>
      <c r="M105" s="121" t="inlineStr">
        <is>
          <t>NA</t>
        </is>
      </c>
      <c r="N105" s="121" t="inlineStr">
        <is>
          <t>NA</t>
        </is>
      </c>
      <c r="O105" s="121" t="inlineStr">
        <is>
          <t>NA</t>
        </is>
      </c>
      <c r="P105" s="49" t="n"/>
      <c r="Q105" s="49" t="n"/>
    </row>
    <row r="106" ht="14.5" customHeight="1">
      <c r="A106" s="106" t="inlineStr">
        <is>
          <t>Gen5</t>
        </is>
      </c>
      <c r="B106" s="68" t="inlineStr">
        <is>
          <t>pxp9</t>
        </is>
      </c>
      <c r="C106" s="108" t="n">
        <v>0</v>
      </c>
      <c r="D106" s="105" t="n"/>
      <c r="E106" s="107" t="inlineStr">
        <is>
          <t>Link L1 Disable</t>
        </is>
      </c>
      <c r="F106" s="117" t="inlineStr">
        <is>
          <t>retrain</t>
        </is>
      </c>
      <c r="G106" s="118" t="inlineStr">
        <is>
          <t>PASS</t>
        </is>
      </c>
      <c r="H106" s="13" t="n"/>
      <c r="I106" s="13" t="n"/>
      <c r="J106" s="119" t="n">
        <v>20.35173601666667</v>
      </c>
      <c r="K106" s="117" t="n">
        <v>1000</v>
      </c>
      <c r="L106" s="118" t="inlineStr">
        <is>
          <t>PASS</t>
        </is>
      </c>
      <c r="M106" s="118" t="inlineStr">
        <is>
          <t>PASS</t>
        </is>
      </c>
      <c r="N106" s="118" t="inlineStr">
        <is>
          <t>PASS</t>
        </is>
      </c>
      <c r="O106" s="118" t="inlineStr">
        <is>
          <t>PASS</t>
        </is>
      </c>
      <c r="P106" s="49" t="n"/>
      <c r="Q106" s="49" t="n"/>
    </row>
    <row r="107" ht="14.5" customHeight="1">
      <c r="A107" s="93" t="n"/>
      <c r="B107" s="68" t="inlineStr">
        <is>
          <t>pxp9</t>
        </is>
      </c>
      <c r="C107" s="93" t="n"/>
      <c r="D107" s="93" t="n"/>
      <c r="E107" s="93" t="n"/>
      <c r="F107" s="117" t="inlineStr">
        <is>
          <t>speedchange_all</t>
        </is>
      </c>
      <c r="G107" s="118" t="inlineStr">
        <is>
          <t>PASS</t>
        </is>
      </c>
      <c r="H107" s="13" t="n"/>
      <c r="I107" s="13" t="n"/>
      <c r="J107" s="119" t="n">
        <v>127.1521294333333</v>
      </c>
      <c r="K107" s="117" t="n">
        <v>1000</v>
      </c>
      <c r="L107" s="118" t="inlineStr">
        <is>
          <t>PASS</t>
        </is>
      </c>
      <c r="M107" s="118" t="inlineStr">
        <is>
          <t>PASS</t>
        </is>
      </c>
      <c r="N107" s="118" t="inlineStr">
        <is>
          <t>PASS</t>
        </is>
      </c>
      <c r="O107" s="118" t="inlineStr">
        <is>
          <t>PASS</t>
        </is>
      </c>
      <c r="P107" s="49" t="n"/>
      <c r="Q107" s="49" t="n"/>
    </row>
    <row r="108" ht="14.5" customHeight="1">
      <c r="A108" s="93" t="n"/>
      <c r="B108" s="68" t="inlineStr">
        <is>
          <t>pxp9</t>
        </is>
      </c>
      <c r="C108" s="93" t="n"/>
      <c r="D108" s="93" t="n"/>
      <c r="E108" s="93" t="n"/>
      <c r="F108" s="117" t="inlineStr">
        <is>
          <t>speedchange_max</t>
        </is>
      </c>
      <c r="G108" s="118" t="inlineStr">
        <is>
          <t>PASS</t>
        </is>
      </c>
      <c r="H108" s="13" t="n"/>
      <c r="I108" s="13" t="n"/>
      <c r="J108" s="119" t="n">
        <v>46.47084406666667</v>
      </c>
      <c r="K108" s="117" t="n">
        <v>1000</v>
      </c>
      <c r="L108" s="118" t="inlineStr">
        <is>
          <t>PASS</t>
        </is>
      </c>
      <c r="M108" s="118" t="inlineStr">
        <is>
          <t>PASS</t>
        </is>
      </c>
      <c r="N108" s="118" t="inlineStr">
        <is>
          <t>PASS</t>
        </is>
      </c>
      <c r="O108" s="118" t="inlineStr">
        <is>
          <t>PASS</t>
        </is>
      </c>
      <c r="P108" s="49" t="n"/>
      <c r="Q108" s="49" t="n"/>
    </row>
    <row r="109" ht="14.5" customHeight="1">
      <c r="A109" s="93" t="n"/>
      <c r="B109" s="68" t="inlineStr">
        <is>
          <t>pxp9</t>
        </is>
      </c>
      <c r="C109" s="93" t="n"/>
      <c r="D109" s="93" t="n"/>
      <c r="E109" s="93" t="n"/>
      <c r="F109" s="117" t="inlineStr">
        <is>
          <t>txeqredo</t>
        </is>
      </c>
      <c r="G109" s="118" t="inlineStr">
        <is>
          <t>PASS</t>
        </is>
      </c>
      <c r="H109" s="13" t="n"/>
      <c r="I109" s="13" t="n"/>
      <c r="J109" s="119" t="n">
        <v>20.85627041666667</v>
      </c>
      <c r="K109" s="117" t="n">
        <v>1000</v>
      </c>
      <c r="L109" s="118" t="inlineStr">
        <is>
          <t>PASS</t>
        </is>
      </c>
      <c r="M109" s="118" t="inlineStr">
        <is>
          <t>PASS</t>
        </is>
      </c>
      <c r="N109" s="118" t="inlineStr">
        <is>
          <t>PASS</t>
        </is>
      </c>
      <c r="O109" s="118" t="inlineStr">
        <is>
          <t>PASS</t>
        </is>
      </c>
      <c r="P109" s="49" t="n"/>
      <c r="Q109" s="49" t="n"/>
    </row>
    <row r="110" ht="14.5" customHeight="1">
      <c r="A110" s="93" t="n"/>
      <c r="B110" s="68" t="inlineStr">
        <is>
          <t>pxp9</t>
        </is>
      </c>
      <c r="C110" s="93" t="n"/>
      <c r="D110" s="93" t="n"/>
      <c r="E110" s="93" t="n"/>
      <c r="F110" s="117" t="inlineStr">
        <is>
          <t>pml1</t>
        </is>
      </c>
      <c r="G110" s="118" t="inlineStr">
        <is>
          <t>PASS</t>
        </is>
      </c>
      <c r="H110" s="13" t="n"/>
      <c r="I110" s="13" t="n"/>
      <c r="J110" s="119" t="n">
        <v>22.86531631666667</v>
      </c>
      <c r="K110" s="117" t="n">
        <v>1000</v>
      </c>
      <c r="L110" s="118" t="inlineStr">
        <is>
          <t>PASS</t>
        </is>
      </c>
      <c r="M110" s="118" t="inlineStr">
        <is>
          <t>PASS</t>
        </is>
      </c>
      <c r="N110" s="118" t="inlineStr">
        <is>
          <t>PASS</t>
        </is>
      </c>
      <c r="O110" s="118" t="inlineStr">
        <is>
          <t>PASS</t>
        </is>
      </c>
      <c r="P110" s="49" t="n"/>
      <c r="Q110" s="49" t="n"/>
    </row>
    <row r="111" ht="14.5" customHeight="1">
      <c r="A111" s="93" t="n"/>
      <c r="B111" s="68" t="inlineStr">
        <is>
          <t>pxp9</t>
        </is>
      </c>
      <c r="C111" s="93" t="n"/>
      <c r="D111" s="93" t="n"/>
      <c r="E111" s="93" t="n"/>
      <c r="F111" s="117" t="inlineStr">
        <is>
          <t>sbr</t>
        </is>
      </c>
      <c r="G111" s="118" t="inlineStr">
        <is>
          <t>PASS</t>
        </is>
      </c>
      <c r="H111" s="13" t="n"/>
      <c r="I111" s="13" t="n"/>
      <c r="J111" s="119" t="n">
        <v>26.1173208</v>
      </c>
      <c r="K111" s="117" t="n">
        <v>1000</v>
      </c>
      <c r="L111" s="118" t="inlineStr">
        <is>
          <t>PASS</t>
        </is>
      </c>
      <c r="M111" s="118" t="inlineStr">
        <is>
          <t>PASS</t>
        </is>
      </c>
      <c r="N111" s="118" t="inlineStr">
        <is>
          <t>PASS</t>
        </is>
      </c>
      <c r="O111" s="118" t="inlineStr">
        <is>
          <t>PASS</t>
        </is>
      </c>
      <c r="P111" s="49" t="n"/>
      <c r="Q111" s="49" t="n"/>
    </row>
    <row r="112" ht="14.5" customHeight="1">
      <c r="A112" s="93" t="n"/>
      <c r="B112" s="68" t="inlineStr">
        <is>
          <t>pxp9</t>
        </is>
      </c>
      <c r="C112" s="93" t="n"/>
      <c r="D112" s="93" t="n"/>
      <c r="E112" s="94" t="n"/>
      <c r="F112" s="117" t="inlineStr">
        <is>
          <t>link_disable</t>
        </is>
      </c>
      <c r="G112" s="118" t="inlineStr">
        <is>
          <t>PASS</t>
        </is>
      </c>
      <c r="H112" s="13" t="n"/>
      <c r="I112" s="13" t="n"/>
      <c r="J112" s="119" t="n">
        <v>21.69597568333333</v>
      </c>
      <c r="K112" s="117" t="n">
        <v>1000</v>
      </c>
      <c r="L112" s="118" t="inlineStr">
        <is>
          <t>PASS</t>
        </is>
      </c>
      <c r="M112" s="118" t="inlineStr">
        <is>
          <t>PASS</t>
        </is>
      </c>
      <c r="N112" s="118" t="inlineStr">
        <is>
          <t>PASS</t>
        </is>
      </c>
      <c r="O112" s="118" t="inlineStr">
        <is>
          <t>PASS</t>
        </is>
      </c>
      <c r="P112" s="49" t="n"/>
      <c r="Q112" s="49" t="n"/>
    </row>
    <row r="113" ht="14.5" customHeight="1">
      <c r="A113" s="94" t="n"/>
      <c r="B113" s="68" t="inlineStr">
        <is>
          <t>pxp9</t>
        </is>
      </c>
      <c r="C113" s="94" t="n"/>
      <c r="D113" s="94" t="n"/>
      <c r="E113" s="50" t="inlineStr">
        <is>
          <t>Link L1 Enable</t>
        </is>
      </c>
      <c r="F113" s="117" t="inlineStr">
        <is>
          <t>pml1</t>
        </is>
      </c>
      <c r="G113" s="118" t="inlineStr">
        <is>
          <t>PASS</t>
        </is>
      </c>
      <c r="H113" s="13" t="n"/>
      <c r="I113" s="13" t="n"/>
      <c r="J113" s="119" t="n">
        <v>30.70438653333333</v>
      </c>
      <c r="K113" s="117" t="n">
        <v>1000</v>
      </c>
      <c r="L113" s="121" t="inlineStr">
        <is>
          <t>NA</t>
        </is>
      </c>
      <c r="M113" s="121" t="inlineStr">
        <is>
          <t>NA</t>
        </is>
      </c>
      <c r="N113" s="121" t="inlineStr">
        <is>
          <t>NA</t>
        </is>
      </c>
      <c r="O113" s="121" t="inlineStr">
        <is>
          <t>NA</t>
        </is>
      </c>
      <c r="P113" s="49" t="n"/>
      <c r="Q113" s="49" t="n"/>
    </row>
    <row r="114" ht="14.5" customHeight="1">
      <c r="A114" s="106" t="inlineStr">
        <is>
          <t>Gen5</t>
        </is>
      </c>
      <c r="B114" s="68" t="inlineStr">
        <is>
          <t>pxp11</t>
        </is>
      </c>
      <c r="C114" s="108" t="n">
        <v>0</v>
      </c>
      <c r="D114" s="105" t="n"/>
      <c r="E114" s="107" t="inlineStr">
        <is>
          <t>Link L1 Disable</t>
        </is>
      </c>
      <c r="F114" s="117" t="inlineStr">
        <is>
          <t>retrain</t>
        </is>
      </c>
      <c r="G114" s="118" t="inlineStr">
        <is>
          <t>PASS</t>
        </is>
      </c>
      <c r="H114" s="13" t="n"/>
      <c r="I114" s="13" t="n"/>
      <c r="J114" s="119" t="n">
        <v>18.22738961666667</v>
      </c>
      <c r="K114" s="117" t="n">
        <v>1000</v>
      </c>
      <c r="L114" s="118" t="inlineStr">
        <is>
          <t>PASS</t>
        </is>
      </c>
      <c r="M114" s="118" t="inlineStr">
        <is>
          <t>PASS</t>
        </is>
      </c>
      <c r="N114" s="118" t="inlineStr">
        <is>
          <t>PASS</t>
        </is>
      </c>
      <c r="O114" s="118" t="inlineStr">
        <is>
          <t>PASS</t>
        </is>
      </c>
      <c r="P114" s="49" t="n"/>
      <c r="Q114" s="49" t="n"/>
    </row>
    <row r="115" ht="14.5" customHeight="1">
      <c r="A115" s="93" t="n"/>
      <c r="B115" s="68" t="inlineStr">
        <is>
          <t>pxp11</t>
        </is>
      </c>
      <c r="C115" s="93" t="n"/>
      <c r="D115" s="93" t="n"/>
      <c r="E115" s="93" t="n"/>
      <c r="F115" s="117" t="inlineStr">
        <is>
          <t>speedchange_all</t>
        </is>
      </c>
      <c r="G115" s="118" t="inlineStr">
        <is>
          <t>PASS</t>
        </is>
      </c>
      <c r="H115" s="13" t="n"/>
      <c r="I115" s="13" t="n"/>
      <c r="J115" s="119" t="n">
        <v>116.2701186333333</v>
      </c>
      <c r="K115" s="117" t="n">
        <v>1000</v>
      </c>
      <c r="L115" s="118" t="inlineStr">
        <is>
          <t>PASS</t>
        </is>
      </c>
      <c r="M115" s="118" t="inlineStr">
        <is>
          <t>PASS</t>
        </is>
      </c>
      <c r="N115" s="118" t="inlineStr">
        <is>
          <t>PASS</t>
        </is>
      </c>
      <c r="O115" s="118" t="inlineStr">
        <is>
          <t>PASS</t>
        </is>
      </c>
      <c r="P115" s="49" t="n"/>
      <c r="Q115" s="49" t="n"/>
    </row>
    <row r="116" ht="14.5" customHeight="1">
      <c r="A116" s="93" t="n"/>
      <c r="B116" s="68" t="inlineStr">
        <is>
          <t>pxp11</t>
        </is>
      </c>
      <c r="C116" s="93" t="n"/>
      <c r="D116" s="93" t="n"/>
      <c r="E116" s="93" t="n"/>
      <c r="F116" s="117" t="inlineStr">
        <is>
          <t>speedchange_max</t>
        </is>
      </c>
      <c r="G116" s="118" t="inlineStr">
        <is>
          <t>PASS</t>
        </is>
      </c>
      <c r="H116" s="13" t="n"/>
      <c r="I116" s="13" t="n"/>
      <c r="J116" s="119" t="n">
        <v>42.29001888333333</v>
      </c>
      <c r="K116" s="117" t="n">
        <v>1000</v>
      </c>
      <c r="L116" s="118" t="inlineStr">
        <is>
          <t>PASS</t>
        </is>
      </c>
      <c r="M116" s="118" t="inlineStr">
        <is>
          <t>PASS</t>
        </is>
      </c>
      <c r="N116" s="118" t="inlineStr">
        <is>
          <t>PASS</t>
        </is>
      </c>
      <c r="O116" s="118" t="inlineStr">
        <is>
          <t>PASS</t>
        </is>
      </c>
      <c r="P116" s="49" t="n"/>
      <c r="Q116" s="49" t="n"/>
    </row>
    <row r="117" ht="14.5" customHeight="1">
      <c r="A117" s="93" t="n"/>
      <c r="B117" s="68" t="inlineStr">
        <is>
          <t>pxp11</t>
        </is>
      </c>
      <c r="C117" s="93" t="n"/>
      <c r="D117" s="93" t="n"/>
      <c r="E117" s="93" t="n"/>
      <c r="F117" s="117" t="inlineStr">
        <is>
          <t>txeqredo</t>
        </is>
      </c>
      <c r="G117" s="118" t="inlineStr">
        <is>
          <t>PASS</t>
        </is>
      </c>
      <c r="H117" s="13" t="n"/>
      <c r="I117" s="13" t="n"/>
      <c r="J117" s="119" t="n">
        <v>18.38275946666667</v>
      </c>
      <c r="K117" s="117" t="n">
        <v>1000</v>
      </c>
      <c r="L117" s="118" t="inlineStr">
        <is>
          <t>PASS</t>
        </is>
      </c>
      <c r="M117" s="118" t="inlineStr">
        <is>
          <t>PASS</t>
        </is>
      </c>
      <c r="N117" s="118" t="inlineStr">
        <is>
          <t>PASS</t>
        </is>
      </c>
      <c r="O117" s="118" t="inlineStr">
        <is>
          <t>PASS</t>
        </is>
      </c>
      <c r="P117" s="49" t="n"/>
      <c r="Q117" s="49" t="n"/>
    </row>
    <row r="118" ht="14.5" customHeight="1">
      <c r="A118" s="93" t="n"/>
      <c r="B118" s="68" t="inlineStr">
        <is>
          <t>pxp11</t>
        </is>
      </c>
      <c r="C118" s="93" t="n"/>
      <c r="D118" s="93" t="n"/>
      <c r="E118" s="93" t="n"/>
      <c r="F118" s="117" t="inlineStr">
        <is>
          <t>pml1</t>
        </is>
      </c>
      <c r="G118" s="118" t="inlineStr">
        <is>
          <t>PASS</t>
        </is>
      </c>
      <c r="H118" s="13" t="n"/>
      <c r="I118" s="13" t="n"/>
      <c r="J118" s="119" t="n">
        <v>20.7010056</v>
      </c>
      <c r="K118" s="117" t="n">
        <v>1000</v>
      </c>
      <c r="L118" s="118" t="inlineStr">
        <is>
          <t>PASS</t>
        </is>
      </c>
      <c r="M118" s="118" t="inlineStr">
        <is>
          <t>PASS</t>
        </is>
      </c>
      <c r="N118" s="118" t="inlineStr">
        <is>
          <t>PASS</t>
        </is>
      </c>
      <c r="O118" s="118" t="inlineStr">
        <is>
          <t>PASS</t>
        </is>
      </c>
      <c r="P118" s="49" t="n"/>
      <c r="Q118" s="49" t="n"/>
    </row>
    <row r="119" ht="14.5" customHeight="1">
      <c r="A119" s="93" t="n"/>
      <c r="B119" s="68" t="inlineStr">
        <is>
          <t>pxp11</t>
        </is>
      </c>
      <c r="C119" s="93" t="n"/>
      <c r="D119" s="93" t="n"/>
      <c r="E119" s="93" t="n"/>
      <c r="F119" s="117" t="inlineStr">
        <is>
          <t>sbr</t>
        </is>
      </c>
      <c r="G119" s="118" t="inlineStr">
        <is>
          <t>PASS</t>
        </is>
      </c>
      <c r="H119" s="13" t="n"/>
      <c r="I119" s="13" t="n"/>
      <c r="J119" s="119" t="n">
        <v>23.48276133333333</v>
      </c>
      <c r="K119" s="117" t="n">
        <v>1000</v>
      </c>
      <c r="L119" s="118" t="inlineStr">
        <is>
          <t>PASS</t>
        </is>
      </c>
      <c r="M119" s="118" t="inlineStr">
        <is>
          <t>PASS</t>
        </is>
      </c>
      <c r="N119" s="118" t="inlineStr">
        <is>
          <t>PASS</t>
        </is>
      </c>
      <c r="O119" s="118" t="inlineStr">
        <is>
          <t>PASS</t>
        </is>
      </c>
      <c r="P119" s="49" t="n"/>
      <c r="Q119" s="49" t="n"/>
    </row>
    <row r="120" ht="14.5" customHeight="1">
      <c r="A120" s="93" t="n"/>
      <c r="B120" s="68" t="inlineStr">
        <is>
          <t>pxp11</t>
        </is>
      </c>
      <c r="C120" s="93" t="n"/>
      <c r="D120" s="93" t="n"/>
      <c r="E120" s="94" t="n"/>
      <c r="F120" s="117" t="inlineStr">
        <is>
          <t>link_disable</t>
        </is>
      </c>
      <c r="G120" s="118" t="inlineStr">
        <is>
          <t>PASS</t>
        </is>
      </c>
      <c r="H120" s="13" t="n"/>
      <c r="I120" s="13" t="n"/>
      <c r="J120" s="119" t="n">
        <v>19.27504941666666</v>
      </c>
      <c r="K120" s="117" t="n">
        <v>1000</v>
      </c>
      <c r="L120" s="118" t="inlineStr">
        <is>
          <t>PASS</t>
        </is>
      </c>
      <c r="M120" s="118" t="inlineStr">
        <is>
          <t>PASS</t>
        </is>
      </c>
      <c r="N120" s="118" t="inlineStr">
        <is>
          <t>PASS</t>
        </is>
      </c>
      <c r="O120" s="118" t="inlineStr">
        <is>
          <t>PASS</t>
        </is>
      </c>
      <c r="P120" s="49" t="n"/>
      <c r="Q120" s="49" t="n"/>
    </row>
    <row r="121" ht="14.5" customHeight="1">
      <c r="A121" s="94" t="n"/>
      <c r="B121" s="68" t="inlineStr">
        <is>
          <t>pxp11</t>
        </is>
      </c>
      <c r="C121" s="94" t="n"/>
      <c r="D121" s="94" t="n"/>
      <c r="E121" s="50" t="inlineStr">
        <is>
          <t>Link L1 Enable</t>
        </is>
      </c>
      <c r="F121" s="117" t="inlineStr">
        <is>
          <t>pml1</t>
        </is>
      </c>
      <c r="G121" s="118" t="inlineStr">
        <is>
          <t>PASS</t>
        </is>
      </c>
      <c r="H121" s="13" t="n"/>
      <c r="I121" s="13" t="n"/>
      <c r="J121" s="119" t="n">
        <v>30.50105176666667</v>
      </c>
      <c r="K121" s="117" t="n">
        <v>1000</v>
      </c>
      <c r="L121" s="121" t="inlineStr">
        <is>
          <t>NA</t>
        </is>
      </c>
      <c r="M121" s="121" t="inlineStr">
        <is>
          <t>NA</t>
        </is>
      </c>
      <c r="N121" s="121" t="inlineStr">
        <is>
          <t>NA</t>
        </is>
      </c>
      <c r="O121" s="121" t="inlineStr">
        <is>
          <t>NA</t>
        </is>
      </c>
      <c r="P121" s="49" t="n"/>
      <c r="Q121" s="49" t="n"/>
    </row>
    <row r="122" ht="14.5" customHeight="1">
      <c r="A122" s="106" t="inlineStr">
        <is>
          <t>Gen5</t>
        </is>
      </c>
      <c r="B122" s="68" t="inlineStr">
        <is>
          <t>pxp12</t>
        </is>
      </c>
      <c r="C122" s="109" t="n">
        <v>0</v>
      </c>
      <c r="D122" s="105" t="n"/>
      <c r="E122" s="107" t="inlineStr">
        <is>
          <t>Link L1 Disable</t>
        </is>
      </c>
      <c r="F122" s="117" t="inlineStr">
        <is>
          <t>retrain</t>
        </is>
      </c>
      <c r="G122" s="118" t="inlineStr">
        <is>
          <t>PASS</t>
        </is>
      </c>
      <c r="H122" s="13" t="n"/>
      <c r="I122" s="13" t="n"/>
      <c r="J122" s="119" t="n">
        <v>18.53567253333333</v>
      </c>
      <c r="K122" s="117" t="n">
        <v>1000</v>
      </c>
      <c r="L122" s="118" t="inlineStr">
        <is>
          <t>PASS</t>
        </is>
      </c>
      <c r="M122" s="118" t="inlineStr">
        <is>
          <t>PASS</t>
        </is>
      </c>
      <c r="N122" s="118" t="inlineStr">
        <is>
          <t>PASS</t>
        </is>
      </c>
      <c r="O122" s="118" t="inlineStr">
        <is>
          <t>PASS</t>
        </is>
      </c>
      <c r="P122" s="49" t="n"/>
      <c r="Q122" s="49" t="n"/>
    </row>
    <row r="123" ht="14.5" customHeight="1">
      <c r="A123" s="93" t="n"/>
      <c r="B123" s="68" t="inlineStr">
        <is>
          <t>pxp12</t>
        </is>
      </c>
      <c r="C123" s="93" t="n"/>
      <c r="D123" s="93" t="n"/>
      <c r="E123" s="93" t="n"/>
      <c r="F123" s="117" t="inlineStr">
        <is>
          <t>speedchange_all</t>
        </is>
      </c>
      <c r="G123" s="118" t="inlineStr">
        <is>
          <t>PASS</t>
        </is>
      </c>
      <c r="H123" s="13" t="n"/>
      <c r="I123" s="13" t="n"/>
      <c r="J123" s="119" t="n">
        <v>117.6754547833333</v>
      </c>
      <c r="K123" s="117" t="n">
        <v>1000</v>
      </c>
      <c r="L123" s="118" t="inlineStr">
        <is>
          <t>PASS</t>
        </is>
      </c>
      <c r="M123" s="118" t="inlineStr">
        <is>
          <t>PASS</t>
        </is>
      </c>
      <c r="N123" s="118" t="inlineStr">
        <is>
          <t>PASS</t>
        </is>
      </c>
      <c r="O123" s="118" t="inlineStr">
        <is>
          <t>PASS</t>
        </is>
      </c>
      <c r="P123" s="49" t="n"/>
      <c r="Q123" s="49" t="n"/>
    </row>
    <row r="124" ht="14.5" customHeight="1">
      <c r="A124" s="93" t="n"/>
      <c r="B124" s="68" t="inlineStr">
        <is>
          <t>pxp12</t>
        </is>
      </c>
      <c r="C124" s="93" t="n"/>
      <c r="D124" s="93" t="n"/>
      <c r="E124" s="93" t="n"/>
      <c r="F124" s="117" t="inlineStr">
        <is>
          <t>speedchange_max</t>
        </is>
      </c>
      <c r="G124" s="118" t="inlineStr">
        <is>
          <t>PASS</t>
        </is>
      </c>
      <c r="H124" s="13" t="n"/>
      <c r="I124" s="13" t="n"/>
      <c r="J124" s="119" t="n">
        <v>42.76373376666666</v>
      </c>
      <c r="K124" s="117" t="n">
        <v>1000</v>
      </c>
      <c r="L124" s="118" t="inlineStr">
        <is>
          <t>PASS</t>
        </is>
      </c>
      <c r="M124" s="118" t="inlineStr">
        <is>
          <t>PASS</t>
        </is>
      </c>
      <c r="N124" s="118" t="inlineStr">
        <is>
          <t>PASS</t>
        </is>
      </c>
      <c r="O124" s="118" t="inlineStr">
        <is>
          <t>PASS</t>
        </is>
      </c>
      <c r="P124" s="49" t="n"/>
      <c r="Q124" s="49" t="n"/>
    </row>
    <row r="125" ht="14.5" customHeight="1">
      <c r="A125" s="93" t="n"/>
      <c r="B125" s="68" t="inlineStr">
        <is>
          <t>pxp12</t>
        </is>
      </c>
      <c r="C125" s="93" t="n"/>
      <c r="D125" s="93" t="n"/>
      <c r="E125" s="93" t="n"/>
      <c r="F125" s="117" t="inlineStr">
        <is>
          <t>txeqredo</t>
        </is>
      </c>
      <c r="G125" s="118" t="inlineStr">
        <is>
          <t>PASS</t>
        </is>
      </c>
      <c r="H125" s="13" t="n"/>
      <c r="I125" s="13" t="n"/>
      <c r="J125" s="119" t="n">
        <v>18.64938288333333</v>
      </c>
      <c r="K125" s="117" t="n">
        <v>1000</v>
      </c>
      <c r="L125" s="118" t="inlineStr">
        <is>
          <t>PASS</t>
        </is>
      </c>
      <c r="M125" s="118" t="inlineStr">
        <is>
          <t>PASS</t>
        </is>
      </c>
      <c r="N125" s="118" t="inlineStr">
        <is>
          <t>PASS</t>
        </is>
      </c>
      <c r="O125" s="118" t="inlineStr">
        <is>
          <t>PASS</t>
        </is>
      </c>
      <c r="P125" s="49" t="n"/>
      <c r="Q125" s="49" t="n"/>
    </row>
    <row r="126" ht="14.5" customHeight="1">
      <c r="A126" s="93" t="n"/>
      <c r="B126" s="68" t="inlineStr">
        <is>
          <t>pxp12</t>
        </is>
      </c>
      <c r="C126" s="93" t="n"/>
      <c r="D126" s="93" t="n"/>
      <c r="E126" s="93" t="n"/>
      <c r="F126" s="117" t="inlineStr">
        <is>
          <t>pml1</t>
        </is>
      </c>
      <c r="G126" s="118" t="inlineStr">
        <is>
          <t>PASS</t>
        </is>
      </c>
      <c r="H126" s="13" t="n"/>
      <c r="I126" s="13" t="n"/>
      <c r="J126" s="119" t="n">
        <v>20.93042873333333</v>
      </c>
      <c r="K126" s="117" t="n">
        <v>1000</v>
      </c>
      <c r="L126" s="118" t="inlineStr">
        <is>
          <t>PASS</t>
        </is>
      </c>
      <c r="M126" s="118" t="inlineStr">
        <is>
          <t>PASS</t>
        </is>
      </c>
      <c r="N126" s="118" t="inlineStr">
        <is>
          <t>PASS</t>
        </is>
      </c>
      <c r="O126" s="118" t="inlineStr">
        <is>
          <t>PASS</t>
        </is>
      </c>
      <c r="P126" s="49" t="n"/>
      <c r="Q126" s="49" t="n"/>
    </row>
    <row r="127" ht="14.5" customHeight="1">
      <c r="A127" s="93" t="n"/>
      <c r="B127" s="68" t="inlineStr">
        <is>
          <t>pxp12</t>
        </is>
      </c>
      <c r="C127" s="93" t="n"/>
      <c r="D127" s="93" t="n"/>
      <c r="E127" s="93" t="n"/>
      <c r="F127" s="117" t="inlineStr">
        <is>
          <t>sbr</t>
        </is>
      </c>
      <c r="G127" s="118" t="inlineStr">
        <is>
          <t>PASS</t>
        </is>
      </c>
      <c r="H127" s="13" t="n"/>
      <c r="I127" s="13" t="n"/>
      <c r="J127" s="119" t="n">
        <v>23.75815003333333</v>
      </c>
      <c r="K127" s="117" t="n">
        <v>1000</v>
      </c>
      <c r="L127" s="118" t="inlineStr">
        <is>
          <t>PASS</t>
        </is>
      </c>
      <c r="M127" s="118" t="inlineStr">
        <is>
          <t>PASS</t>
        </is>
      </c>
      <c r="N127" s="118" t="inlineStr">
        <is>
          <t>PASS</t>
        </is>
      </c>
      <c r="O127" s="118" t="inlineStr">
        <is>
          <t>PASS</t>
        </is>
      </c>
      <c r="P127" s="49" t="n"/>
      <c r="Q127" s="49" t="n"/>
    </row>
    <row r="128" ht="14.5" customHeight="1">
      <c r="A128" s="93" t="n"/>
      <c r="B128" s="68" t="inlineStr">
        <is>
          <t>pxp12</t>
        </is>
      </c>
      <c r="C128" s="93" t="n"/>
      <c r="D128" s="93" t="n"/>
      <c r="E128" s="94" t="n"/>
      <c r="F128" s="117" t="inlineStr">
        <is>
          <t>link_disable</t>
        </is>
      </c>
      <c r="G128" s="118" t="inlineStr">
        <is>
          <t>PASS</t>
        </is>
      </c>
      <c r="H128" s="13" t="n"/>
      <c r="I128" s="13" t="n"/>
      <c r="J128" s="119" t="n">
        <v>19.56419513333333</v>
      </c>
      <c r="K128" s="117" t="n">
        <v>1000</v>
      </c>
      <c r="L128" s="118" t="inlineStr">
        <is>
          <t>PASS</t>
        </is>
      </c>
      <c r="M128" s="118" t="inlineStr">
        <is>
          <t>PASS</t>
        </is>
      </c>
      <c r="N128" s="118" t="inlineStr">
        <is>
          <t>PASS</t>
        </is>
      </c>
      <c r="O128" s="118" t="inlineStr">
        <is>
          <t>PASS</t>
        </is>
      </c>
      <c r="P128" s="49" t="n"/>
      <c r="Q128" s="49" t="n"/>
    </row>
    <row r="129" ht="14.5" customHeight="1">
      <c r="A129" s="94" t="n"/>
      <c r="B129" s="68" t="inlineStr">
        <is>
          <t>pxp12</t>
        </is>
      </c>
      <c r="C129" s="94" t="n"/>
      <c r="D129" s="94" t="n"/>
      <c r="E129" s="50" t="inlineStr">
        <is>
          <t>Link L1 Enable</t>
        </is>
      </c>
      <c r="F129" s="117" t="inlineStr">
        <is>
          <t>pml1</t>
        </is>
      </c>
      <c r="G129" s="118" t="inlineStr">
        <is>
          <t>PASS</t>
        </is>
      </c>
      <c r="H129" s="13" t="n"/>
      <c r="I129" s="13" t="n"/>
      <c r="J129" s="119" t="n">
        <v>30.85108835</v>
      </c>
      <c r="K129" s="117" t="n">
        <v>1000</v>
      </c>
      <c r="L129" s="121" t="inlineStr">
        <is>
          <t>NA</t>
        </is>
      </c>
      <c r="M129" s="121" t="inlineStr">
        <is>
          <t>NA</t>
        </is>
      </c>
      <c r="N129" s="121" t="inlineStr">
        <is>
          <t>NA</t>
        </is>
      </c>
      <c r="O129" s="121" t="inlineStr">
        <is>
          <t>NA</t>
        </is>
      </c>
      <c r="P129" s="49" t="n"/>
      <c r="Q129" s="49" t="n"/>
    </row>
  </sheetData>
  <autoFilter ref="A1:Q129"/>
  <mergeCells count="64">
    <mergeCell ref="D74:D81"/>
    <mergeCell ref="E114:E120"/>
    <mergeCell ref="E34:E40"/>
    <mergeCell ref="A34:A41"/>
    <mergeCell ref="A58:A65"/>
    <mergeCell ref="E74:E80"/>
    <mergeCell ref="D26:D33"/>
    <mergeCell ref="D82:D89"/>
    <mergeCell ref="C34:C41"/>
    <mergeCell ref="A114:A121"/>
    <mergeCell ref="E90:E96"/>
    <mergeCell ref="D10:D17"/>
    <mergeCell ref="A82:A89"/>
    <mergeCell ref="C42:C49"/>
    <mergeCell ref="A98:A105"/>
    <mergeCell ref="E2:E8"/>
    <mergeCell ref="C18:C25"/>
    <mergeCell ref="D50:D57"/>
    <mergeCell ref="C98:C105"/>
    <mergeCell ref="C74:C81"/>
    <mergeCell ref="A10:A17"/>
    <mergeCell ref="D34:D41"/>
    <mergeCell ref="E66:E72"/>
    <mergeCell ref="C58:C65"/>
    <mergeCell ref="C26:C33"/>
    <mergeCell ref="D90:D97"/>
    <mergeCell ref="C66:C73"/>
    <mergeCell ref="C10:C17"/>
    <mergeCell ref="D2:D9"/>
    <mergeCell ref="E26:E32"/>
    <mergeCell ref="E50:E56"/>
    <mergeCell ref="A90:A97"/>
    <mergeCell ref="C50:C57"/>
    <mergeCell ref="A66:A73"/>
    <mergeCell ref="E106:E112"/>
    <mergeCell ref="C114:C121"/>
    <mergeCell ref="A74:A81"/>
    <mergeCell ref="A50:A57"/>
    <mergeCell ref="C90:C97"/>
    <mergeCell ref="E42:E48"/>
    <mergeCell ref="D42:D49"/>
    <mergeCell ref="E18:E24"/>
    <mergeCell ref="A18:A25"/>
    <mergeCell ref="D66:D73"/>
    <mergeCell ref="E58:E64"/>
    <mergeCell ref="A42:A49"/>
    <mergeCell ref="D106:D113"/>
    <mergeCell ref="D122:D129"/>
    <mergeCell ref="D18:D25"/>
    <mergeCell ref="A106:A113"/>
    <mergeCell ref="A26:A33"/>
    <mergeCell ref="A2:A9"/>
    <mergeCell ref="C106:C113"/>
    <mergeCell ref="D58:D65"/>
    <mergeCell ref="C2:C9"/>
    <mergeCell ref="D114:D121"/>
    <mergeCell ref="E82:E88"/>
    <mergeCell ref="E122:E128"/>
    <mergeCell ref="A122:A129"/>
    <mergeCell ref="E98:E104"/>
    <mergeCell ref="C122:C129"/>
    <mergeCell ref="C82:C89"/>
    <mergeCell ref="E10:E16"/>
    <mergeCell ref="D98:D105"/>
  </mergeCells>
  <conditionalFormatting sqref="A2:A129">
    <cfRule type="containsText" priority="146" operator="containsText" dxfId="5" text="Gen5">
      <formula>NOT(ISERROR(SEARCH("Gen5",A2)))</formula>
    </cfRule>
    <cfRule type="containsText" priority="147" operator="containsText" dxfId="4" text="Gen6">
      <formula>NOT(ISERROR(SEARCH("Gen6",A2)))</formula>
    </cfRule>
  </conditionalFormatting>
  <conditionalFormatting sqref="B2:B129">
    <cfRule type="cellIs" priority="51" operator="equal" dxfId="8">
      <formula>"pxp12"</formula>
    </cfRule>
    <cfRule type="cellIs" priority="52" operator="equal" dxfId="8">
      <formula>"pxp11"</formula>
    </cfRule>
    <cfRule type="cellIs" priority="53" operator="equal" dxfId="8">
      <formula>"pxp9"</formula>
    </cfRule>
    <cfRule type="cellIs" priority="54" operator="equal" dxfId="8">
      <formula>"pxp3"</formula>
    </cfRule>
    <cfRule type="cellIs" priority="55" operator="equal" dxfId="6">
      <formula>"pxp4"</formula>
    </cfRule>
    <cfRule type="cellIs" priority="148" operator="equal" dxfId="6">
      <formula>"pxp1"</formula>
    </cfRule>
  </conditionalFormatting>
  <conditionalFormatting sqref="C2:C129">
    <cfRule type="cellIs" priority="49" operator="equal" dxfId="5">
      <formula>4</formula>
    </cfRule>
    <cfRule type="cellIs" priority="50" operator="equal" dxfId="4">
      <formula>0</formula>
    </cfRule>
  </conditionalFormatting>
  <conditionalFormatting sqref="G2:I65">
    <cfRule type="containsText" priority="110" operator="containsText" dxfId="2" text="block">
      <formula>NOT(ISERROR(SEARCH("block",G2)))</formula>
    </cfRule>
    <cfRule type="containsText" priority="111" operator="containsText" dxfId="2" text="NA">
      <formula>NOT(ISERROR(SEARCH("NA",G2)))</formula>
    </cfRule>
    <cfRule type="containsText" priority="112" operator="containsText" dxfId="1" text="fail">
      <formula>NOT(ISERROR(SEARCH("fail",G2)))</formula>
    </cfRule>
    <cfRule type="containsText" priority="113" operator="containsText" dxfId="0" text="pass">
      <formula>NOT(ISERROR(SEARCH("pass",G2)))</formula>
    </cfRule>
  </conditionalFormatting>
  <conditionalFormatting sqref="G66:I81 L66:O72 L74:O80">
    <cfRule type="containsText" priority="329" operator="containsText" dxfId="2" text="block">
      <formula>NOT(ISERROR(SEARCH("block",G66)))</formula>
    </cfRule>
    <cfRule type="containsText" priority="330" operator="containsText" dxfId="2" text="NA">
      <formula>NOT(ISERROR(SEARCH("NA",G66)))</formula>
    </cfRule>
    <cfRule type="containsText" priority="331" operator="containsText" dxfId="1" text="fail">
      <formula>NOT(ISERROR(SEARCH("fail",G66)))</formula>
    </cfRule>
    <cfRule type="containsText" priority="332" operator="containsText" dxfId="0" text="pass">
      <formula>NOT(ISERROR(SEARCH("pass",G66)))</formula>
    </cfRule>
  </conditionalFormatting>
  <conditionalFormatting sqref="G70:I70">
    <cfRule type="containsText" priority="297" operator="containsText" dxfId="2" text="block">
      <formula>NOT(ISERROR(SEARCH("block",G70)))</formula>
    </cfRule>
    <cfRule type="containsText" priority="298" operator="containsText" dxfId="2" text="NA">
      <formula>NOT(ISERROR(SEARCH("NA",G70)))</formula>
    </cfRule>
    <cfRule type="containsText" priority="299" operator="containsText" dxfId="1" text="fail">
      <formula>NOT(ISERROR(SEARCH("fail",G70)))</formula>
    </cfRule>
    <cfRule type="containsText" priority="300" operator="containsText" dxfId="0" text="pass">
      <formula>NOT(ISERROR(SEARCH("pass",G70)))</formula>
    </cfRule>
  </conditionalFormatting>
  <conditionalFormatting sqref="G78:I78">
    <cfRule type="containsText" priority="60" operator="containsText" dxfId="2" text="block">
      <formula>NOT(ISERROR(SEARCH("block",G78)))</formula>
    </cfRule>
    <cfRule type="containsText" priority="61" operator="containsText" dxfId="2" text="NA">
      <formula>NOT(ISERROR(SEARCH("NA",G78)))</formula>
    </cfRule>
    <cfRule type="containsText" priority="62" operator="containsText" dxfId="1" text="fail">
      <formula>NOT(ISERROR(SEARCH("fail",G78)))</formula>
    </cfRule>
    <cfRule type="containsText" priority="63" operator="containsText" dxfId="0" text="pass">
      <formula>NOT(ISERROR(SEARCH("pass",G78)))</formula>
    </cfRule>
  </conditionalFormatting>
  <conditionalFormatting sqref="G82:I129">
    <cfRule type="containsText" priority="5" operator="containsText" dxfId="2" text="block">
      <formula>NOT(ISERROR(SEARCH("block",G82)))</formula>
    </cfRule>
    <cfRule type="containsText" priority="6" operator="containsText" dxfId="2" text="NA">
      <formula>NOT(ISERROR(SEARCH("NA",G82)))</formula>
    </cfRule>
    <cfRule type="containsText" priority="7" operator="containsText" dxfId="1" text="fail">
      <formula>NOT(ISERROR(SEARCH("fail",G82)))</formula>
    </cfRule>
    <cfRule type="containsText" priority="8" operator="containsText" dxfId="0" text="pass">
      <formula>NOT(ISERROR(SEARCH("pass",G82)))</formula>
    </cfRule>
  </conditionalFormatting>
  <conditionalFormatting sqref="L2:O65">
    <cfRule type="containsText" priority="9" operator="containsText" dxfId="2" text="block">
      <formula>NOT(ISERROR(SEARCH("block",L2)))</formula>
    </cfRule>
    <cfRule type="containsText" priority="10" operator="containsText" dxfId="2" text="NA">
      <formula>NOT(ISERROR(SEARCH("NA",L2)))</formula>
    </cfRule>
    <cfRule type="containsText" priority="11" operator="containsText" dxfId="1" text="fail">
      <formula>NOT(ISERROR(SEARCH("fail",L2)))</formula>
    </cfRule>
    <cfRule type="containsText" priority="12" operator="containsText" dxfId="0" text="pass">
      <formula>NOT(ISERROR(SEARCH("pass",L2)))</formula>
    </cfRule>
  </conditionalFormatting>
  <conditionalFormatting sqref="L66:O69">
    <cfRule type="containsText" priority="337" operator="containsText" dxfId="1" text="FAIL">
      <formula>NOT(ISERROR(SEARCH("FAIL",L66)))</formula>
    </cfRule>
    <cfRule type="containsText" priority="338" operator="containsText" dxfId="0" text="PASS">
      <formula>NOT(ISERROR(SEARCH("PASS",L66)))</formula>
    </cfRule>
  </conditionalFormatting>
  <conditionalFormatting sqref="L73:O73">
    <cfRule type="containsText" priority="45" operator="containsText" dxfId="2" text="block">
      <formula>NOT(ISERROR(SEARCH("block",L73)))</formula>
    </cfRule>
    <cfRule type="containsText" priority="46" operator="containsText" dxfId="2" text="NA">
      <formula>NOT(ISERROR(SEARCH("NA",L73)))</formula>
    </cfRule>
    <cfRule type="containsText" priority="47" operator="containsText" dxfId="1" text="fail">
      <formula>NOT(ISERROR(SEARCH("fail",L73)))</formula>
    </cfRule>
    <cfRule type="containsText" priority="48" operator="containsText" dxfId="0" text="pass">
      <formula>NOT(ISERROR(SEARCH("pass",L73)))</formula>
    </cfRule>
  </conditionalFormatting>
  <conditionalFormatting sqref="L74:O77">
    <cfRule type="containsText" priority="64" operator="containsText" dxfId="1" text="FAIL">
      <formula>NOT(ISERROR(SEARCH("FAIL",L74)))</formula>
    </cfRule>
    <cfRule type="containsText" priority="65" operator="containsText" dxfId="0" text="PASS">
      <formula>NOT(ISERROR(SEARCH("PASS",L74)))</formula>
    </cfRule>
  </conditionalFormatting>
  <conditionalFormatting sqref="L81:O129">
    <cfRule type="containsText" priority="1" operator="containsText" dxfId="2" text="block">
      <formula>NOT(ISERROR(SEARCH("block",L81)))</formula>
    </cfRule>
    <cfRule type="containsText" priority="2" operator="containsText" dxfId="2" text="NA">
      <formula>NOT(ISERROR(SEARCH("NA",L81)))</formula>
    </cfRule>
    <cfRule type="containsText" priority="3" operator="containsText" dxfId="1" text="fail">
      <formula>NOT(ISERROR(SEARCH("fail",L81)))</formula>
    </cfRule>
    <cfRule type="containsText" priority="4" operator="containsText" dxfId="0" text="pass">
      <formula>NOT(ISERROR(SEARCH("pass",L81)))</formula>
    </cfRule>
  </conditionalFormatting>
  <conditionalFormatting sqref="M70">
    <cfRule type="containsText" priority="293" operator="containsText" dxfId="2" text="block">
      <formula>NOT(ISERROR(SEARCH("block",M70)))</formula>
    </cfRule>
    <cfRule type="containsText" priority="294" operator="containsText" dxfId="2" text="NA">
      <formula>NOT(ISERROR(SEARCH("NA",M70)))</formula>
    </cfRule>
    <cfRule type="containsText" priority="295" operator="containsText" dxfId="1" text="fail">
      <formula>NOT(ISERROR(SEARCH("fail",M70)))</formula>
    </cfRule>
    <cfRule type="containsText" priority="296" operator="containsText" dxfId="0" text="pass">
      <formula>NOT(ISERROR(SEARCH("pass",M70)))</formula>
    </cfRule>
  </conditionalFormatting>
  <conditionalFormatting sqref="M78">
    <cfRule type="containsText" priority="56" operator="containsText" dxfId="2" text="block">
      <formula>NOT(ISERROR(SEARCH("block",M78)))</formula>
    </cfRule>
    <cfRule type="containsText" priority="57" operator="containsText" dxfId="2" text="NA">
      <formula>NOT(ISERROR(SEARCH("NA",M78)))</formula>
    </cfRule>
    <cfRule type="containsText" priority="58" operator="containsText" dxfId="1" text="fail">
      <formula>NOT(ISERROR(SEARCH("fail",M78)))</formula>
    </cfRule>
    <cfRule type="containsText" priority="59" operator="containsText" dxfId="0" text="pass">
      <formula>NOT(ISERROR(SEARCH("pass",M78)))</formula>
    </cfRule>
  </conditionalFormatting>
  <dataValidations count="4">
    <dataValidation sqref="G2:I129 L2:O129" showDropDown="0" showInputMessage="1" showErrorMessage="1" allowBlank="1" type="list">
      <formula1>"PASS,FAIL,Block,NA"</formula1>
    </dataValidation>
    <dataValidation sqref="A2:A129" showDropDown="0" showInputMessage="1" showErrorMessage="1" allowBlank="1" type="list">
      <formula1>"Gen6,Gen5"</formula1>
    </dataValidation>
    <dataValidation sqref="B2:B129" showDropDown="0" showInputMessage="1" showErrorMessage="1" allowBlank="1" type="list">
      <formula1>"pxp1,pxp3,pxp4,pxp9,pxp11,pxp12"</formula1>
    </dataValidation>
    <dataValidation sqref="C2:C129" showDropDown="0" showInputMessage="1" showErrorMessage="1" allowBlank="1" type="list">
      <formula1>"0,2,4,6"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"/>
  <sheetViews>
    <sheetView zoomScale="130" zoomScaleNormal="130" workbookViewId="0">
      <selection activeCell="F25" sqref="F25"/>
    </sheetView>
  </sheetViews>
  <sheetFormatPr baseColWidth="8" defaultColWidth="8.81640625" defaultRowHeight="14.5"/>
  <cols>
    <col width="6.26953125" customWidth="1" style="10" min="1" max="1"/>
    <col width="6.81640625" customWidth="1" style="10" min="2" max="3"/>
    <col width="13.1796875" customWidth="1" style="11" min="4" max="4"/>
    <col width="21.7265625" customWidth="1" style="11" min="5" max="5"/>
    <col width="7.1796875" customWidth="1" style="11" min="6" max="6"/>
    <col width="13.54296875" customWidth="1" style="12" min="7" max="7"/>
    <col width="8.81640625" customWidth="1" style="8" min="8" max="12"/>
    <col width="8.81640625" customWidth="1" style="8" min="13" max="16384"/>
  </cols>
  <sheetData>
    <row r="1" ht="29" customHeight="1">
      <c r="A1" s="92" t="inlineStr">
        <is>
          <t>Gen#</t>
        </is>
      </c>
      <c r="B1" s="92" t="inlineStr">
        <is>
          <t>Pxpstr</t>
        </is>
      </c>
      <c r="C1" s="92" t="inlineStr">
        <is>
          <t>Portno</t>
        </is>
      </c>
      <c r="D1" s="92" t="inlineStr">
        <is>
          <t>WO#</t>
        </is>
      </c>
      <c r="E1" s="92" t="inlineStr">
        <is>
          <t>Metric</t>
        </is>
      </c>
      <c r="F1" s="92" t="inlineStr">
        <is>
          <t>Result</t>
        </is>
      </c>
      <c r="G1" s="92" t="inlineStr">
        <is>
          <t>Test Duration</t>
        </is>
      </c>
      <c r="H1" s="32" t="inlineStr">
        <is>
          <t>HSD</t>
        </is>
      </c>
      <c r="I1" s="32" t="inlineStr">
        <is>
          <t>HSD Status</t>
        </is>
      </c>
    </row>
    <row r="2">
      <c r="A2" s="107" t="inlineStr">
        <is>
          <t>Gen6</t>
        </is>
      </c>
      <c r="B2" s="62" t="inlineStr">
        <is>
          <t>pxp1</t>
        </is>
      </c>
      <c r="C2" s="63" t="n">
        <v>0</v>
      </c>
      <c r="D2" s="105" t="n">
        <v>15019294637</v>
      </c>
      <c r="E2" s="28" t="inlineStr">
        <is>
          <t>fber_avg</t>
        </is>
      </c>
      <c r="F2" s="13" t="inlineStr">
        <is>
          <t>PASS</t>
        </is>
      </c>
      <c r="G2" s="83" t="inlineStr">
        <is>
          <t>1:05:16</t>
        </is>
      </c>
      <c r="H2" s="16" t="n"/>
      <c r="I2" s="16" t="n"/>
    </row>
    <row r="3">
      <c r="A3" s="107" t="inlineStr">
        <is>
          <t>Gen6</t>
        </is>
      </c>
      <c r="B3" s="62" t="inlineStr">
        <is>
          <t>pxp1</t>
        </is>
      </c>
      <c r="C3" s="63" t="n">
        <v>4</v>
      </c>
      <c r="D3" s="105" t="n">
        <v>15019302214</v>
      </c>
      <c r="E3" s="28" t="inlineStr">
        <is>
          <t>fber_avg</t>
        </is>
      </c>
      <c r="F3" s="13" t="inlineStr">
        <is>
          <t>PASS</t>
        </is>
      </c>
      <c r="G3" s="81" t="inlineStr">
        <is>
          <t>1:11:54</t>
        </is>
      </c>
      <c r="H3" s="16" t="n"/>
      <c r="I3" s="16" t="n"/>
    </row>
    <row r="4">
      <c r="A4" s="107" t="inlineStr">
        <is>
          <t>Gen6</t>
        </is>
      </c>
      <c r="B4" s="62" t="inlineStr">
        <is>
          <t>pxp3</t>
        </is>
      </c>
      <c r="C4" s="63" t="n">
        <v>0</v>
      </c>
      <c r="D4" s="105" t="inlineStr">
        <is>
          <t>15019302281</t>
        </is>
      </c>
      <c r="E4" s="28" t="inlineStr">
        <is>
          <t>fber_avg</t>
        </is>
      </c>
      <c r="F4" s="13" t="inlineStr">
        <is>
          <t>PASS</t>
        </is>
      </c>
      <c r="G4" s="81" t="inlineStr">
        <is>
          <t>02:06:20</t>
        </is>
      </c>
      <c r="H4" s="16" t="n"/>
      <c r="I4" s="16" t="n"/>
    </row>
    <row r="5">
      <c r="A5" s="107" t="inlineStr">
        <is>
          <t>Gen6</t>
        </is>
      </c>
      <c r="B5" s="62" t="inlineStr">
        <is>
          <t>pxp4</t>
        </is>
      </c>
      <c r="C5" s="63" t="n">
        <v>0</v>
      </c>
      <c r="D5" s="105" t="inlineStr">
        <is>
          <t>15019304890</t>
        </is>
      </c>
      <c r="E5" s="28" t="inlineStr">
        <is>
          <t>fber_avg</t>
        </is>
      </c>
      <c r="F5" s="13" t="inlineStr">
        <is>
          <t>PASS</t>
        </is>
      </c>
      <c r="G5" s="80" t="inlineStr">
        <is>
          <t>1:06:57</t>
        </is>
      </c>
      <c r="H5" s="16" t="n"/>
      <c r="I5" s="16" t="n"/>
    </row>
    <row r="6">
      <c r="A6" s="107" t="inlineStr">
        <is>
          <t>Gen6</t>
        </is>
      </c>
      <c r="B6" s="62" t="inlineStr">
        <is>
          <t>pxp4</t>
        </is>
      </c>
      <c r="C6" s="63" t="n">
        <v>4</v>
      </c>
      <c r="D6" s="105" t="inlineStr">
        <is>
          <t>15019305093</t>
        </is>
      </c>
      <c r="E6" s="28" t="inlineStr">
        <is>
          <t>fber_avg</t>
        </is>
      </c>
      <c r="F6" s="13" t="inlineStr">
        <is>
          <t>PASS</t>
        </is>
      </c>
      <c r="G6" s="80" t="inlineStr">
        <is>
          <t>1:05:26</t>
        </is>
      </c>
      <c r="H6" s="16" t="n"/>
      <c r="I6" s="16" t="n"/>
    </row>
    <row r="7">
      <c r="A7" s="107" t="inlineStr">
        <is>
          <t>Gen6</t>
        </is>
      </c>
      <c r="B7" s="62" t="inlineStr">
        <is>
          <t>pxp9</t>
        </is>
      </c>
      <c r="C7" s="63" t="n">
        <v>0</v>
      </c>
      <c r="D7" s="105" t="inlineStr">
        <is>
          <t>15019305366</t>
        </is>
      </c>
      <c r="E7" s="28" t="inlineStr">
        <is>
          <t>fber_avg</t>
        </is>
      </c>
      <c r="F7" s="13" t="inlineStr">
        <is>
          <t>PASS</t>
        </is>
      </c>
      <c r="G7" s="81" t="inlineStr">
        <is>
          <t>02:55:05</t>
        </is>
      </c>
      <c r="H7" s="16" t="n"/>
      <c r="I7" s="16" t="n"/>
    </row>
    <row r="8">
      <c r="A8" s="107" t="inlineStr">
        <is>
          <t>Gen6</t>
        </is>
      </c>
      <c r="B8" s="62" t="inlineStr">
        <is>
          <t>pxp11</t>
        </is>
      </c>
      <c r="C8" s="63" t="n">
        <v>0</v>
      </c>
      <c r="D8" s="105" t="inlineStr">
        <is>
          <t>15019305355</t>
        </is>
      </c>
      <c r="E8" s="28" t="inlineStr">
        <is>
          <t>fber_avg</t>
        </is>
      </c>
      <c r="F8" s="13" t="inlineStr">
        <is>
          <t>PASS</t>
        </is>
      </c>
      <c r="G8" s="81" t="inlineStr">
        <is>
          <t>2:05:18</t>
        </is>
      </c>
      <c r="H8" s="16" t="n"/>
      <c r="I8" s="16" t="n"/>
    </row>
    <row r="9">
      <c r="A9" s="107" t="inlineStr">
        <is>
          <t>Gen6</t>
        </is>
      </c>
      <c r="B9" s="62" t="inlineStr">
        <is>
          <t>pxp12</t>
        </is>
      </c>
      <c r="C9" s="60" t="n">
        <v>0</v>
      </c>
      <c r="D9" s="105" t="inlineStr">
        <is>
          <t>15019305350</t>
        </is>
      </c>
      <c r="E9" s="28" t="inlineStr">
        <is>
          <t>fber_avg</t>
        </is>
      </c>
      <c r="F9" s="13" t="inlineStr">
        <is>
          <t>PASS</t>
        </is>
      </c>
      <c r="G9" s="80" t="inlineStr">
        <is>
          <t>02:06:24</t>
        </is>
      </c>
      <c r="H9" s="16" t="n"/>
      <c r="I9" s="16" t="n"/>
    </row>
    <row r="10">
      <c r="A10" s="107" t="inlineStr">
        <is>
          <t>Gen5</t>
        </is>
      </c>
      <c r="B10" s="62" t="inlineStr">
        <is>
          <t>pxp1</t>
        </is>
      </c>
      <c r="C10" s="63" t="n">
        <v>0</v>
      </c>
      <c r="D10" s="105" t="n">
        <v>15019294668</v>
      </c>
      <c r="E10" s="28" t="inlineStr">
        <is>
          <t>tMarginMin/voc_MINmV</t>
        </is>
      </c>
      <c r="F10" s="13" t="inlineStr">
        <is>
          <t>PASS</t>
        </is>
      </c>
      <c r="G10" s="81" t="inlineStr">
        <is>
          <t>1:11:37</t>
        </is>
      </c>
      <c r="H10" s="16" t="n"/>
      <c r="I10" s="16" t="n"/>
    </row>
    <row r="11">
      <c r="A11" s="107" t="inlineStr">
        <is>
          <t>Gen5</t>
        </is>
      </c>
      <c r="B11" s="62" t="inlineStr">
        <is>
          <t>pxp1</t>
        </is>
      </c>
      <c r="C11" s="63" t="n">
        <v>4</v>
      </c>
      <c r="D11" s="105" t="n">
        <v>15019302215</v>
      </c>
      <c r="E11" s="28" t="inlineStr">
        <is>
          <t>tMarginMin/voc_MINmV</t>
        </is>
      </c>
      <c r="F11" s="13" t="inlineStr">
        <is>
          <t>PASS</t>
        </is>
      </c>
      <c r="G11" s="81" t="inlineStr">
        <is>
          <t>1:06:14</t>
        </is>
      </c>
      <c r="H11" s="16" t="n"/>
      <c r="I11" s="16" t="n"/>
    </row>
    <row r="12">
      <c r="A12" s="107" t="inlineStr">
        <is>
          <t>Gen5</t>
        </is>
      </c>
      <c r="B12" s="62" t="inlineStr">
        <is>
          <t>pxp3</t>
        </is>
      </c>
      <c r="C12" s="63" t="n">
        <v>0</v>
      </c>
      <c r="D12" s="105" t="inlineStr">
        <is>
          <t>15019302282</t>
        </is>
      </c>
      <c r="E12" s="28" t="inlineStr">
        <is>
          <t>tMarginMin/voc_MINmV</t>
        </is>
      </c>
      <c r="F12" s="13" t="inlineStr">
        <is>
          <t>PASS</t>
        </is>
      </c>
      <c r="G12" s="81" t="inlineStr">
        <is>
          <t>02:26:43</t>
        </is>
      </c>
      <c r="H12" s="16" t="n"/>
      <c r="I12" s="16" t="n"/>
    </row>
    <row r="13">
      <c r="A13" s="107" t="inlineStr">
        <is>
          <t>Gen5</t>
        </is>
      </c>
      <c r="B13" s="62" t="inlineStr">
        <is>
          <t>pxp4</t>
        </is>
      </c>
      <c r="C13" s="63" t="n">
        <v>0</v>
      </c>
      <c r="D13" s="105" t="inlineStr">
        <is>
          <t>15019304989</t>
        </is>
      </c>
      <c r="E13" s="28" t="inlineStr">
        <is>
          <t>tMarginMin/voc_MINmV</t>
        </is>
      </c>
      <c r="F13" s="13" t="inlineStr">
        <is>
          <t>PASS</t>
        </is>
      </c>
      <c r="G13" s="80" t="inlineStr">
        <is>
          <t>1:14:20</t>
        </is>
      </c>
      <c r="H13" s="16" t="n"/>
      <c r="I13" s="16" t="n"/>
    </row>
    <row r="14">
      <c r="A14" s="107" t="inlineStr">
        <is>
          <t>Gen5</t>
        </is>
      </c>
      <c r="B14" s="62" t="inlineStr">
        <is>
          <t>pxp4</t>
        </is>
      </c>
      <c r="C14" s="63" t="n">
        <v>4</v>
      </c>
      <c r="D14" s="105" t="inlineStr">
        <is>
          <t>15019305239</t>
        </is>
      </c>
      <c r="E14" s="28" t="inlineStr">
        <is>
          <t>tMarginMin/voc_MINmV</t>
        </is>
      </c>
      <c r="F14" s="13" t="inlineStr">
        <is>
          <t>PASS</t>
        </is>
      </c>
      <c r="G14" s="80" t="inlineStr">
        <is>
          <t>1:12:12</t>
        </is>
      </c>
      <c r="H14" s="16" t="n"/>
      <c r="I14" s="16" t="n"/>
    </row>
    <row r="15">
      <c r="A15" s="107" t="inlineStr">
        <is>
          <t>Gen5</t>
        </is>
      </c>
      <c r="B15" s="62" t="inlineStr">
        <is>
          <t>pxp9</t>
        </is>
      </c>
      <c r="C15" s="63" t="n">
        <v>0</v>
      </c>
      <c r="D15" s="105" t="inlineStr">
        <is>
          <t>15019305370</t>
        </is>
      </c>
      <c r="E15" s="28" t="inlineStr">
        <is>
          <t>tMarginMin/voc_MINmV</t>
        </is>
      </c>
      <c r="F15" s="13" t="inlineStr">
        <is>
          <t>PASS</t>
        </is>
      </c>
      <c r="G15" s="81" t="inlineStr">
        <is>
          <t>02:24:21</t>
        </is>
      </c>
      <c r="H15" s="16" t="n"/>
      <c r="I15" s="16" t="n"/>
    </row>
    <row r="16">
      <c r="A16" s="107" t="inlineStr">
        <is>
          <t>Gen5</t>
        </is>
      </c>
      <c r="B16" s="62" t="inlineStr">
        <is>
          <t>pxp11</t>
        </is>
      </c>
      <c r="C16" s="63" t="n">
        <v>0</v>
      </c>
      <c r="D16" s="105" t="inlineStr">
        <is>
          <t>15019305356</t>
        </is>
      </c>
      <c r="E16" s="28" t="inlineStr">
        <is>
          <t>tMarginMin/voc_MINmV</t>
        </is>
      </c>
      <c r="F16" s="13" t="inlineStr">
        <is>
          <t>PASS</t>
        </is>
      </c>
      <c r="G16" s="81" t="inlineStr">
        <is>
          <t>2:23:05</t>
        </is>
      </c>
      <c r="H16" s="16" t="n"/>
      <c r="I16" s="16" t="n"/>
    </row>
    <row r="17">
      <c r="A17" s="107" t="inlineStr">
        <is>
          <t>Gen5</t>
        </is>
      </c>
      <c r="B17" s="62" t="inlineStr">
        <is>
          <t>pxp12</t>
        </is>
      </c>
      <c r="C17" s="60" t="n">
        <v>0</v>
      </c>
      <c r="D17" s="105" t="inlineStr">
        <is>
          <t>15019305352</t>
        </is>
      </c>
      <c r="E17" s="28" t="inlineStr">
        <is>
          <t>tMarginMin/voc_MINmV</t>
        </is>
      </c>
      <c r="F17" s="13" t="inlineStr">
        <is>
          <t>PASS</t>
        </is>
      </c>
      <c r="G17" s="80" t="inlineStr">
        <is>
          <t>02:25:31</t>
        </is>
      </c>
      <c r="H17" s="16" t="n"/>
      <c r="I17" s="16" t="n"/>
    </row>
    <row r="24">
      <c r="D24" s="14" t="n"/>
    </row>
    <row r="26">
      <c r="D26" s="14" t="n"/>
    </row>
  </sheetData>
  <autoFilter ref="A1:I17"/>
  <conditionalFormatting sqref="A2:A17">
    <cfRule type="containsText" priority="13" operator="containsText" dxfId="13" text="Gen5">
      <formula>NOT(ISERROR(SEARCH("Gen5",A2)))</formula>
    </cfRule>
    <cfRule type="containsText" priority="14" operator="containsText" dxfId="4" text="Gen6">
      <formula>NOT(ISERROR(SEARCH("Gen6",A2)))</formula>
    </cfRule>
  </conditionalFormatting>
  <conditionalFormatting sqref="B2:B17">
    <cfRule type="cellIs" priority="3" operator="equal" dxfId="8">
      <formula>"pxp12"</formula>
    </cfRule>
    <cfRule type="cellIs" priority="4" operator="equal" dxfId="8">
      <formula>"pxp11"</formula>
    </cfRule>
    <cfRule type="cellIs" priority="5" operator="equal" dxfId="8">
      <formula>"pxp9"</formula>
    </cfRule>
    <cfRule type="cellIs" priority="6" operator="equal" dxfId="8">
      <formula>"pxp3"</formula>
    </cfRule>
    <cfRule type="cellIs" priority="7" operator="equal" dxfId="6">
      <formula>"pxp4"</formula>
    </cfRule>
    <cfRule type="cellIs" priority="8" operator="equal" dxfId="6">
      <formula>"pxp1"</formula>
    </cfRule>
  </conditionalFormatting>
  <conditionalFormatting sqref="C2:C17">
    <cfRule type="cellIs" priority="1" operator="equal" dxfId="5">
      <formula>4</formula>
    </cfRule>
    <cfRule type="cellIs" priority="2" operator="equal" dxfId="4">
      <formula>0</formula>
    </cfRule>
  </conditionalFormatting>
  <conditionalFormatting sqref="F2:F17">
    <cfRule type="containsText" priority="9" operator="containsText" dxfId="2" text="block">
      <formula>NOT(ISERROR(SEARCH("block",F2)))</formula>
    </cfRule>
    <cfRule type="containsText" priority="10" operator="containsText" dxfId="2" text="NA">
      <formula>NOT(ISERROR(SEARCH("NA",F2)))</formula>
    </cfRule>
    <cfRule type="containsText" priority="11" operator="containsText" dxfId="1" text="fail">
      <formula>NOT(ISERROR(SEARCH("fail",F2)))</formula>
    </cfRule>
    <cfRule type="containsText" priority="12" operator="containsText" dxfId="0" text="pass">
      <formula>NOT(ISERROR(SEARCH("pass",F2)))</formula>
    </cfRule>
  </conditionalFormatting>
  <dataValidations count="2">
    <dataValidation sqref="F2:F17" showDropDown="0" showInputMessage="1" showErrorMessage="1" allowBlank="1" type="list">
      <formula1>"PASS,FAIL,Block,NA"</formula1>
    </dataValidation>
    <dataValidation sqref="C2:C17" showDropDown="0" showInputMessage="1" showErrorMessage="1" allowBlank="1" type="list">
      <formula1>"0,4"</formula1>
    </dataValidation>
  </dataValidations>
  <hyperlinks>
    <hyperlink xmlns:r="http://schemas.openxmlformats.org/officeDocument/2006/relationships" ref="D2" location="/article/15019294637" display="https://hsdes.intel.com/appstore/article-one/ - /article/15019294637" r:id="rId1"/>
    <hyperlink xmlns:r="http://schemas.openxmlformats.org/officeDocument/2006/relationships" ref="D3" location="/article/15019302214" display="https://hsdes.intel.com/appstore/article-one/ - /article/15019302214" r:id="rId2"/>
    <hyperlink xmlns:r="http://schemas.openxmlformats.org/officeDocument/2006/relationships" ref="D10" location="/article/15019294668" display="https://hsdes.intel.com/appstore/article-one/ - /article/15019294668" r:id="rId3"/>
    <hyperlink xmlns:r="http://schemas.openxmlformats.org/officeDocument/2006/relationships" ref="D11" location="/article/15019302215" display="https://hsdes.intel.com/appstore/article-one/ - /article/15019302215" r:id="rId4"/>
  </hyperlink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61" workbookViewId="0">
      <selection activeCell="W72" sqref="W72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49" workbookViewId="0">
      <selection activeCell="AD30" sqref="AD30"/>
    </sheetView>
  </sheetViews>
  <sheetFormatPr baseColWidth="8" defaultRowHeight="14.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B13" sqref="B13"/>
    </sheetView>
  </sheetViews>
  <sheetFormatPr baseColWidth="8" defaultRowHeight="14.5"/>
  <cols>
    <col width="16.453125" customWidth="1" min="1" max="1"/>
    <col width="31.26953125" customWidth="1" min="2" max="2"/>
    <col width="12.1796875" customWidth="1" min="3" max="3"/>
    <col width="43.26953125" customWidth="1" min="4" max="4"/>
  </cols>
  <sheetData>
    <row r="1" ht="32.5" customHeight="1">
      <c r="A1" s="43" t="inlineStr">
        <is>
          <t>Test_Case</t>
        </is>
      </c>
      <c r="B1" s="110" t="inlineStr">
        <is>
          <t>Pass/Fail Criteria</t>
        </is>
      </c>
      <c r="C1" s="96" t="n"/>
      <c r="D1" s="97" t="n"/>
    </row>
    <row r="2" ht="15" customHeight="1">
      <c r="A2" s="92" t="inlineStr">
        <is>
          <t>SMV_Margin</t>
        </is>
      </c>
      <c r="B2" s="20" t="inlineStr">
        <is>
          <t>Protocol and Generation/Speed</t>
        </is>
      </c>
      <c r="C2" s="20" t="inlineStr">
        <is>
          <t>Metric</t>
        </is>
      </c>
      <c r="D2" s="20" t="inlineStr">
        <is>
          <t>Column Name Pass Case</t>
        </is>
      </c>
    </row>
    <row r="3" ht="15" customHeight="1">
      <c r="A3" s="93" t="n"/>
      <c r="B3" s="107" t="inlineStr">
        <is>
          <t>PCIe 6 / CXL3</t>
        </is>
      </c>
      <c r="C3" s="107" t="inlineStr">
        <is>
          <t>FBER</t>
        </is>
      </c>
      <c r="D3" s="107" t="inlineStr">
        <is>
          <t>fber_avg &lt; 1e-6</t>
        </is>
      </c>
    </row>
    <row r="4" ht="15" customHeight="1">
      <c r="A4" s="93" t="n"/>
      <c r="B4" s="107" t="inlineStr">
        <is>
          <t>PCIe 5 / CXL 1.x/2</t>
        </is>
      </c>
      <c r="C4" s="107" t="inlineStr">
        <is>
          <t>Margin</t>
        </is>
      </c>
      <c r="D4" s="107" t="inlineStr">
        <is>
          <t>tMarginMin &gt; 3.0 ps | voc_MINmV &gt; 28mV</t>
        </is>
      </c>
    </row>
    <row r="5" ht="15" customHeight="1">
      <c r="A5" s="93" t="n"/>
      <c r="B5" s="107" t="inlineStr">
        <is>
          <t>PCIe 4</t>
        </is>
      </c>
      <c r="C5" s="107" t="inlineStr">
        <is>
          <t>Margin</t>
        </is>
      </c>
      <c r="D5" s="107" t="inlineStr">
        <is>
          <t>tMarginMin &gt; 8.2 ps | voc_MINmV &gt; 38.1mV</t>
        </is>
      </c>
    </row>
    <row r="6" ht="15" customHeight="1">
      <c r="A6" s="93" t="n"/>
      <c r="B6" s="107" t="inlineStr">
        <is>
          <t>PCIe 3</t>
        </is>
      </c>
      <c r="C6" s="107" t="inlineStr">
        <is>
          <t>Margin</t>
        </is>
      </c>
      <c r="D6" s="107" t="inlineStr">
        <is>
          <t>tMarginMin &gt; 20.82 ps | voc_MINmV &gt; 36.9mV</t>
        </is>
      </c>
    </row>
    <row r="7" ht="15" customHeight="1">
      <c r="A7" s="94" t="n"/>
      <c r="B7" s="107" t="inlineStr">
        <is>
          <t>UXI 48 / UXI 56</t>
        </is>
      </c>
      <c r="C7" s="107" t="inlineStr">
        <is>
          <t>FBER</t>
        </is>
      </c>
      <c r="D7" s="107" t="inlineStr">
        <is>
          <t>fber_avg &lt; 1e-6</t>
        </is>
      </c>
    </row>
    <row r="8" ht="90" customHeight="1">
      <c r="A8" s="40" t="inlineStr">
        <is>
          <t>LTSSM</t>
        </is>
      </c>
      <c r="B8" s="111" t="inlineStr">
        <is>
          <t>1. Check summary.xlsx retrain/speedchange_all/speedchange_max/txeqredo/pml1/sbr/link_disable should PASS
2. Check detail.xlsx should no any error
3. Check pythonsv log should no any error</t>
        </is>
      </c>
      <c r="C8" s="96" t="n"/>
      <c r="D8" s="97" t="n"/>
    </row>
  </sheetData>
  <mergeCells count="3">
    <mergeCell ref="A2:A7"/>
    <mergeCell ref="B1:D1"/>
    <mergeCell ref="B8:D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0"/>
  <sheetViews>
    <sheetView zoomScale="85" zoomScaleNormal="85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B20" sqref="B20"/>
    </sheetView>
  </sheetViews>
  <sheetFormatPr baseColWidth="8" defaultRowHeight="14.5"/>
  <cols>
    <col width="18.453125" customWidth="1" min="1" max="1"/>
    <col width="151.453125" customWidth="1" min="2" max="2"/>
  </cols>
  <sheetData>
    <row r="1" ht="39" customHeight="1" thickBot="1">
      <c r="A1" s="115" t="inlineStr">
        <is>
          <t>Regular BIOS setting</t>
        </is>
      </c>
      <c r="B1" s="116" t="n"/>
    </row>
    <row r="2" ht="15" customFormat="1" customHeight="1" s="14">
      <c r="A2" s="112" t="inlineStr">
        <is>
          <t>MCIO 3/9/11/12</t>
        </is>
      </c>
      <c r="B2" s="52" t="inlineStr">
        <is>
          <t>EDKII Menu -&gt; Socket Configuration -&gt; IO Configuration -&gt; Socket0 Configuration -&gt; FIO 3 (PCIe/CXL) -&gt; EQ mode = Full EQ(Default value is Auto)</t>
        </is>
      </c>
    </row>
    <row r="3" ht="15" customFormat="1" customHeight="1" s="14">
      <c r="A3" s="113" t="n"/>
      <c r="B3" s="55" t="inlineStr">
        <is>
          <t>EDKII Menu -&gt; Socket Configuration -&gt; IO Configuration -&gt; Socket0 Configuration -&gt; FIO 3 (PCIe/CXL) -&gt; Bifurcation = x16(Default value is Auto)</t>
        </is>
      </c>
    </row>
    <row r="4" ht="15" customFormat="1" customHeight="1" s="14">
      <c r="A4" s="113" t="n"/>
      <c r="B4" s="55" t="inlineStr">
        <is>
          <t>EDKII Menu -&gt; Socket Configuration -&gt; IO Configuration -&gt; Socket0 Configuration -&gt; FIO 3 (PCIe/CXL) -&gt; Port A -&gt; Requested Link Speed = Auto(Default value is Auto)</t>
        </is>
      </c>
    </row>
    <row r="5" ht="15" customFormat="1" customHeight="1" s="14">
      <c r="A5" s="113" t="n"/>
      <c r="B5" s="55" t="inlineStr">
        <is>
          <t>EDKII Menu -&gt; Socket Configuration -&gt; IO Configuration -&gt; Socket0 Configuration -&gt; FIO 3 (PCIe/CXL) -&gt; Port A -&gt; ASPM Support = Disabled(Default value is Enabled)</t>
        </is>
      </c>
    </row>
    <row r="6" ht="15" customFormat="1" customHeight="1" s="14" thickBot="1">
      <c r="A6" s="114" t="n"/>
      <c r="B6" s="56" t="inlineStr">
        <is>
          <t>EDKII Menu -&gt; Socket Configuration -&gt; IO Configuration -&gt; Socket0 Configuration -&gt; FIO 3 (PCIe/CXL) -&gt; Port A -&gt; MCTP = Disabled(Default value is Enabled)</t>
        </is>
      </c>
    </row>
    <row r="7" ht="15" customFormat="1" customHeight="1" s="14">
      <c r="A7" s="112" t="inlineStr">
        <is>
          <t>MT 1/4</t>
        </is>
      </c>
      <c r="B7" s="52" t="inlineStr">
        <is>
          <t>EDKII Menu -&gt; Socket Configuration -&gt; IO Configuration -&gt; Socket0 Configuration -&gt; FIO 1/4 (PCIe/CXL) -&gt; EQ mode = Full EQ(Default value is Auto)</t>
        </is>
      </c>
    </row>
    <row r="8">
      <c r="A8" s="113" t="n"/>
      <c r="B8" s="53" t="inlineStr">
        <is>
          <t>EDKII Menu -&gt; Socket Configuration -&gt; IO Configuration -&gt; Socket0 Configuration -&gt; FIO 1/4 (PCIe/CXL) -&gt; Bifurcation = x8x8(Default value is Auto) Save and reboot take effect.</t>
        </is>
      </c>
    </row>
    <row r="9">
      <c r="A9" s="113" t="n"/>
      <c r="B9" s="53" t="inlineStr">
        <is>
          <t>EDKII Menu -&gt; Socket Configuration -&gt; IO Configuration -&gt; Socket0 Configuration -&gt; FIO 1/4 (PCIe/CXL) -&gt; Port A/E-&gt; Requested Link Speed = Auto(Default value is Auto)</t>
        </is>
      </c>
    </row>
    <row r="10">
      <c r="A10" s="113" t="n"/>
      <c r="B10" s="53" t="inlineStr">
        <is>
          <t>EDKII Menu -&gt; Socket Configuration -&gt; IO Configuration -&gt; Socket0 Configuration -&gt; FIO 1/4 (PCIe/CXL) -&gt; Port A/E -&gt; ASPM Support = Disabled(Default value is Enabled)</t>
        </is>
      </c>
    </row>
    <row r="11" ht="15" customHeight="1" thickBot="1">
      <c r="A11" s="114" t="n"/>
      <c r="B11" s="54" t="inlineStr">
        <is>
          <t>EDKII Menu -&gt; Socket Configuration -&gt; IO Configuration -&gt; Socket0 Configuration -&gt; FIO 1/4 (PCIe/CXL) -&gt; Port A/E -&gt; MCTP = Disabled(Default value is Enabled)</t>
        </is>
      </c>
    </row>
    <row r="12" ht="15" customFormat="1" customHeight="1" s="14">
      <c r="A12" s="112" t="inlineStr">
        <is>
          <t>FIO 1/3/4/9/11/12</t>
        </is>
      </c>
      <c r="B12" s="52" t="inlineStr">
        <is>
          <t>EDKII Menu -&gt; Socket Configuration -&gt; IO Configuration -&gt; Intel VT for Directed I/O (VT-d) -&gt; PCIe ACSCTL = Disabled(Default value is disabled)</t>
        </is>
      </c>
    </row>
    <row r="13" ht="15" customFormat="1" customHeight="1" s="14">
      <c r="A13" s="113" t="n"/>
      <c r="B13" s="55" t="inlineStr">
        <is>
          <t>EDKII Menu -&gt; Socket Configuration -&gt; IO Configuration -&gt; DFX Global Configuration -&gt; EV DFX Features = Enabled(Default value is Auto)</t>
        </is>
      </c>
    </row>
    <row r="14" ht="15" customFormat="1" customHeight="1" s="14">
      <c r="A14" s="113" t="n"/>
      <c r="B14" s="55" t="inlineStr">
        <is>
          <t>EDKII Menu -&gt; Socket Configuration -&gt; IO Configuration -&gt; DFX Global Configuration -&gt; LTSSM logger configurations -&gt; Enable LTSSM logger = Enabled(Default value is disabled)</t>
        </is>
      </c>
    </row>
    <row r="15" ht="15" customFormat="1" customHeight="1" s="14">
      <c r="A15" s="113" t="n"/>
      <c r="B15" s="55" t="inlineStr">
        <is>
          <t>EDKII Menu -&gt; Socket Configuration -&gt; Uncore Configuration -&gt; Uncore General Configuration -&gt; Link L0p Enable = Disabled(Default value is Auto)</t>
        </is>
      </c>
    </row>
    <row r="16" ht="15" customFormat="1" customHeight="1" s="14">
      <c r="A16" s="113" t="n"/>
      <c r="B16" s="55" t="inlineStr">
        <is>
          <t>EDKII Menu -&gt; Socket Configuration -&gt; Uncore Configuration -&gt; Uncore General Configuration -&gt; Link L1 Enable = Disabled(Default value is Auto)   Enable it when run PML1 stress</t>
        </is>
      </c>
    </row>
    <row r="17" ht="15" customFormat="1" customHeight="1" s="14">
      <c r="A17" s="113" t="n"/>
      <c r="B17" s="55" t="inlineStr">
        <is>
          <t>EDKII Menu -&gt; Socket Configuration -&gt; Uncore Dfx Configuration -&gt; CPU Soft Strap = Enabled(Default value is Auto)</t>
        </is>
      </c>
    </row>
    <row r="18" ht="15" customFormat="1" customHeight="1" s="14">
      <c r="A18" s="113" t="n"/>
      <c r="B18" s="55" t="inlineStr">
        <is>
          <t>EDKII Menu -&gt; Platform Configuration -&gt; Miscellaneous Configuration -&gt; ISCLK Configuration -&gt; SSC1 Enable = Disabled(Default value is Enabled)</t>
        </is>
      </c>
    </row>
    <row r="19" ht="15" customFormat="1" customHeight="1" s="14">
      <c r="A19" s="113" t="n"/>
      <c r="B19" s="55" t="inlineStr">
        <is>
          <t>EDKII Menu -&gt; Platform Configuration -&gt; Miscellaneous Configuration -&gt; ISCLK Configuration -&gt; SSC2 Enable = Disabled(Default value is Enabled)</t>
        </is>
      </c>
    </row>
    <row r="20" ht="15" customFormat="1" customHeight="1" s="14" thickBot="1">
      <c r="A20" s="114" t="n"/>
      <c r="B20" s="56" t="inlineStr">
        <is>
          <t>EDKII Menu -&gt; Platform Configuration -&gt; System Event Log -&gt; IIO Error Enabling -&gt; IIO/IBL Global Error Support = Disabled(Default value is Enabled)</t>
        </is>
      </c>
    </row>
  </sheetData>
  <mergeCells count="4">
    <mergeCell ref="A7:A11"/>
    <mergeCell ref="A12:A20"/>
    <mergeCell ref="A2:A6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Ma, SuminX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2026-05-14T07:52:37Z</dcterms:modified>
  <cp:lastModifiedBy>Huang, QianX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0x0101005F54490676079743988EDF38C2D1DD67</vt:lpwstr>
  </property>
</Properties>
</file>